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es\Downloads\"/>
    </mc:Choice>
  </mc:AlternateContent>
  <xr:revisionPtr revIDLastSave="0" documentId="8_{5653C4B9-5FBD-4601-AADA-9CDC65B79480}" xr6:coauthVersionLast="47" xr6:coauthVersionMax="47" xr10:uidLastSave="{00000000-0000-0000-0000-000000000000}"/>
  <bookViews>
    <workbookView xWindow="-108" yWindow="-108" windowWidth="23256" windowHeight="12456" xr2:uid="{BE35EC9F-58F1-45BE-9D75-768DE39AC31A}"/>
  </bookViews>
  <sheets>
    <sheet name="pm_surya_clean" sheetId="3" r:id="rId1"/>
    <sheet name="State" sheetId="1" r:id="rId2"/>
  </sheets>
  <definedNames>
    <definedName name="ExternalData_1" localSheetId="0" hidden="1">pm_surya_clean!$A$1:$H$774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216C75-5444-4064-8C1E-0E0ED754C6B4}" keepAlive="1" name="Query - pmsurya" description="Connection to the 'pmsurya' query in the workbook." type="5" refreshedVersion="8" background="1" saveData="1">
    <dbPr connection="Provider=Microsoft.Mashup.OleDb.1;Data Source=$Workbook$;Location=pmsurya;Extended Properties=&quot;&quot;" command="SELECT * FROM [pmsurya]"/>
  </connection>
</connections>
</file>

<file path=xl/sharedStrings.xml><?xml version="1.0" encoding="utf-8"?>
<sst xmlns="http://schemas.openxmlformats.org/spreadsheetml/2006/main" count="1630" uniqueCount="852">
  <si>
    <t>22</t>
  </si>
  <si>
    <t>state</t>
  </si>
  <si>
    <t>district</t>
  </si>
  <si>
    <t>applications</t>
  </si>
  <si>
    <t>installations</t>
  </si>
  <si>
    <t>households</t>
  </si>
  <si>
    <t>installationCapacity_KW</t>
  </si>
  <si>
    <t>subsidy_Amount</t>
  </si>
  <si>
    <t>28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</si>
  <si>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</si>
  <si>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</si>
  <si>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</si>
  <si>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</si>
  <si>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</si>
  <si>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</si>
  <si>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</si>
  <si>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</si>
  <si>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</si>
  <si>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</si>
  <si>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</si>
  <si>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</si>
  <si>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</si>
  <si>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</si>
  <si>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</si>
  <si>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</si>
  <si>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</si>
  <si>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</si>
  <si>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</si>
  <si>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</si>
  <si>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</si>
  <si>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</si>
  <si>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</si>
  <si>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</si>
  <si>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</si>
  <si>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</t>
  </si>
  <si>
    <t>12</t>
  </si>
  <si>
    <t>Changlang</t>
  </si>
  <si>
    <t xml:space="preserve">Dibang Valley </t>
  </si>
  <si>
    <t>EAST KAMENG</t>
  </si>
  <si>
    <t>East Siang</t>
  </si>
  <si>
    <t>Lohit</t>
  </si>
  <si>
    <t>LONGDING</t>
  </si>
  <si>
    <t xml:space="preserve">Lower Dibang Valley </t>
  </si>
  <si>
    <t>LOWER SIANG</t>
  </si>
  <si>
    <t>Lower Subansiri</t>
  </si>
  <si>
    <t>NAMSAI</t>
  </si>
  <si>
    <t>Papum Pare</t>
  </si>
  <si>
    <t>Tawang</t>
  </si>
  <si>
    <t>Tirap</t>
  </si>
  <si>
    <t>Upper Subansiri</t>
  </si>
  <si>
    <t xml:space="preserve">WEST KAMENG </t>
  </si>
  <si>
    <t>West Siang</t>
  </si>
  <si>
    <t>18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</si>
  <si>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</si>
  <si>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</si>
  <si>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</si>
  <si>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</si>
  <si>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</si>
  <si>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</si>
  <si>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</si>
  <si>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</si>
  <si>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</si>
  <si>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</si>
  <si>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</si>
  <si>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</si>
  <si>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</si>
  <si>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</si>
  <si>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</si>
  <si>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</si>
  <si>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</si>
  <si>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</si>
  <si>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</si>
  <si>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</si>
  <si>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</si>
  <si>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</si>
  <si>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</si>
  <si>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</si>
  <si>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</si>
  <si>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</si>
  <si>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</si>
  <si>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</si>
  <si>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</si>
  <si>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</si>
  <si>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</si>
  <si>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TAMULPUR</t>
  </si>
  <si>
    <t>Tinsukia</t>
  </si>
  <si>
    <t>Udalguri</t>
  </si>
  <si>
    <t>WEST KARBI ANGLONG</t>
  </si>
  <si>
    <t>10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</si>
  <si>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</si>
  <si>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</si>
  <si>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</si>
  <si>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</si>
  <si>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</si>
  <si>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</si>
  <si>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</si>
  <si>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</si>
  <si>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</si>
  <si>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</si>
  <si>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</si>
  <si>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</si>
  <si>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</si>
  <si>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</si>
  <si>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</si>
  <si>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</si>
  <si>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</si>
  <si>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</si>
  <si>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</si>
  <si>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</si>
  <si>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</si>
  <si>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</si>
  <si>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</si>
  <si>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</si>
  <si>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</si>
  <si>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</si>
  <si>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</si>
  <si>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</si>
  <si>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</si>
  <si>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</si>
  <si>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</si>
  <si>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</si>
  <si>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</si>
  <si>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</si>
  <si>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</si>
  <si>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</si>
  <si>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</si>
  <si>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</si>
  <si>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</si>
  <si>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</si>
  <si>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</si>
  <si>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</si>
  <si>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</si>
  <si>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</si>
  <si>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</si>
  <si>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</si>
  <si>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Dantewada</t>
  </si>
  <si>
    <t>Dhamtari</t>
  </si>
  <si>
    <t>Durg</t>
  </si>
  <si>
    <t>GARIYABAND</t>
  </si>
  <si>
    <t>Gaurella Pendra Marwahi</t>
  </si>
  <si>
    <t>Janjgir Champa</t>
  </si>
  <si>
    <t>Jashpur</t>
  </si>
  <si>
    <t>Kabeerdham</t>
  </si>
  <si>
    <t>Kanker</t>
  </si>
  <si>
    <t>KHAIRGARH CHHUIKHADAN GANDAI</t>
  </si>
  <si>
    <t>KONDAGAON</t>
  </si>
  <si>
    <t>Korba</t>
  </si>
  <si>
    <t>Korea</t>
  </si>
  <si>
    <t>Mahasamund</t>
  </si>
  <si>
    <t>MANENDRAGARH CHIRIMIRI BHARATPUR</t>
  </si>
  <si>
    <t>MOHLA MANPUR AMBAGARH CHOUKI</t>
  </si>
  <si>
    <t>MUNGELI</t>
  </si>
  <si>
    <t>Narayanpur</t>
  </si>
  <si>
    <t>Raigarh</t>
  </si>
  <si>
    <t>Raipur</t>
  </si>
  <si>
    <t>Rajnandgaon</t>
  </si>
  <si>
    <t>SAKTI</t>
  </si>
  <si>
    <t>SARANGARH BILAIGARH</t>
  </si>
  <si>
    <t>Sukma</t>
  </si>
  <si>
    <t>SURAJPUR</t>
  </si>
  <si>
    <t>Surguja</t>
  </si>
  <si>
    <t>Uttar Bastar Kanker</t>
  </si>
  <si>
    <t>30</t>
  </si>
  <si>
    <t>NORTH GOA</t>
  </si>
  <si>
    <t>SOUTH GOA</t>
  </si>
  <si>
    <t>24</t>
  </si>
  <si>
    <t>Ahmedabad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</si>
  <si>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</si>
  <si>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</si>
  <si>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</si>
  <si>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</si>
  <si>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</si>
  <si>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</si>
  <si>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</si>
  <si>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</si>
  <si>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Dahod</t>
  </si>
  <si>
    <t>Dangs</t>
  </si>
  <si>
    <t>Devbhoomi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</si>
  <si>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</si>
  <si>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</si>
  <si>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</si>
  <si>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</si>
  <si>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</si>
  <si>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</si>
  <si>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</si>
  <si>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</si>
  <si>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</si>
  <si>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</si>
  <si>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</si>
  <si>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</si>
  <si>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</si>
  <si>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</si>
  <si>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</si>
  <si>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</si>
  <si>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</si>
  <si>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</si>
  <si>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</si>
  <si>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</si>
  <si>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</si>
  <si>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6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</si>
  <si>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</si>
  <si>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</si>
  <si>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</si>
  <si>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</si>
  <si>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</si>
  <si>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</si>
  <si>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</si>
  <si>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</si>
  <si>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</si>
  <si>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</si>
  <si>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</si>
  <si>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</si>
  <si>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</si>
  <si>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</si>
  <si>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</si>
  <si>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</si>
  <si>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</si>
  <si>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</si>
  <si>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</si>
  <si>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</si>
  <si>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</si>
  <si>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</si>
  <si>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2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</si>
  <si>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</si>
  <si>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</si>
  <si>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</si>
  <si>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</si>
  <si>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</si>
  <si>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</si>
  <si>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</si>
  <si>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</si>
  <si>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</si>
  <si>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</si>
  <si>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</si>
  <si>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20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</si>
  <si>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</si>
  <si>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</si>
  <si>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</si>
  <si>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</si>
  <si>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</si>
  <si>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</si>
  <si>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</si>
  <si>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</si>
  <si>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</si>
  <si>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</si>
  <si>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</si>
  <si>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</si>
  <si>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</si>
  <si>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</si>
  <si>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</si>
  <si>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</si>
  <si>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</si>
  <si>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</si>
  <si>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</si>
  <si>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</si>
  <si>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</si>
  <si>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</si>
  <si>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</si>
  <si>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</si>
  <si>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29</t>
  </si>
  <si>
    <t>BAGALKOTE</t>
  </si>
  <si>
    <t>BALLARI</t>
  </si>
  <si>
    <t>BELAGAVI</t>
  </si>
  <si>
    <t>Bengaluru Rural</t>
  </si>
  <si>
    <t>BENGALURU URBAN</t>
  </si>
  <si>
    <t>Bidar</t>
  </si>
  <si>
    <t>Chamarajanagar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</si>
  <si>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</si>
  <si>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</si>
  <si>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</si>
  <si>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</si>
  <si>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</si>
  <si>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</si>
  <si>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</si>
  <si>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</si>
  <si>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</si>
  <si>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</si>
  <si>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</si>
  <si>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</si>
  <si>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</si>
  <si>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</si>
  <si>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</si>
  <si>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</si>
  <si>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</si>
  <si>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</si>
  <si>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</si>
  <si>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</si>
  <si>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</si>
  <si>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</si>
  <si>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</si>
  <si>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</si>
  <si>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32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</si>
  <si>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</si>
  <si>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</si>
  <si>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</si>
  <si>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</si>
  <si>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</si>
  <si>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</si>
  <si>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</si>
  <si>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</si>
  <si>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</si>
  <si>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</si>
  <si>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</si>
  <si>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</si>
  <si>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</si>
  <si>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</si>
  <si>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23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</si>
  <si>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</si>
  <si>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</si>
  <si>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</si>
  <si>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</si>
  <si>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</si>
  <si>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</si>
  <si>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</si>
  <si>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</si>
  <si>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</si>
  <si>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</si>
  <si>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</si>
  <si>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</si>
  <si>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</si>
  <si>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</si>
  <si>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</si>
  <si>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</si>
  <si>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</si>
  <si>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</si>
  <si>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</si>
  <si>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</si>
  <si>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</si>
  <si>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</si>
  <si>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</si>
  <si>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</si>
  <si>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</si>
  <si>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</si>
  <si>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</si>
  <si>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</si>
  <si>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</si>
  <si>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</si>
  <si>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</si>
  <si>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</si>
  <si>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</si>
  <si>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</si>
  <si>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</si>
  <si>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</si>
  <si>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</si>
  <si>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</si>
  <si>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</si>
  <si>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</si>
  <si>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</si>
  <si>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</si>
  <si>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</si>
  <si>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</si>
  <si>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</si>
  <si>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</si>
  <si>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</si>
  <si>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</si>
  <si>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</si>
  <si>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</si>
  <si>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</si>
  <si>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</si>
  <si>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</si>
  <si>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</si>
  <si>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</si>
  <si>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27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</si>
  <si>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</si>
  <si>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</si>
  <si>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</si>
  <si>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</si>
  <si>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</si>
  <si>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</si>
  <si>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</si>
  <si>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</si>
  <si>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</si>
  <si>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</si>
  <si>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</si>
  <si>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</si>
  <si>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</si>
  <si>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</si>
  <si>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</si>
  <si>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</si>
  <si>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</si>
  <si>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</si>
  <si>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</si>
  <si>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</si>
  <si>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</si>
  <si>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</si>
  <si>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</si>
  <si>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</si>
  <si>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</si>
  <si>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</si>
  <si>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</si>
  <si>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</si>
  <si>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</si>
  <si>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</si>
  <si>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</si>
  <si>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</si>
  <si>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</si>
  <si>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</si>
  <si>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</si>
  <si>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</si>
  <si>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14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</si>
  <si>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</si>
  <si>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</si>
  <si>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</si>
  <si>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</si>
  <si>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</si>
  <si>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</si>
  <si>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</si>
  <si>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</si>
  <si>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</si>
  <si>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</si>
  <si>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SENAPATI</t>
  </si>
  <si>
    <t>TAMENGLONG</t>
  </si>
  <si>
    <t>TENGNOUPAL</t>
  </si>
  <si>
    <t>THOUBAL</t>
  </si>
  <si>
    <t>UKHRUL</t>
  </si>
  <si>
    <t>17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</si>
  <si>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</si>
  <si>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</si>
  <si>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</si>
  <si>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</si>
  <si>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</si>
  <si>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</si>
  <si>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</si>
  <si>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</si>
  <si>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</si>
  <si>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</si>
  <si>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</si>
  <si>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</si>
  <si>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15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</si>
  <si>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</si>
  <si>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</si>
  <si>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</si>
  <si>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</si>
  <si>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</si>
  <si>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</si>
  <si>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</si>
  <si>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</si>
  <si>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</si>
  <si>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</si>
  <si>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</si>
  <si>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13</t>
  </si>
  <si>
    <t>Chumoukedima</t>
  </si>
  <si>
    <t>Dimapur</t>
  </si>
  <si>
    <t>Kiphire</t>
  </si>
  <si>
    <t>Kohima</t>
  </si>
  <si>
    <t>Mokokchung</t>
  </si>
  <si>
    <t>Mon</t>
  </si>
  <si>
    <t>Niuland</t>
  </si>
  <si>
    <t>Peren</t>
  </si>
  <si>
    <t>Phek</t>
  </si>
  <si>
    <t>Tuensang</t>
  </si>
  <si>
    <t>Wokha</t>
  </si>
  <si>
    <t>Zunheboto</t>
  </si>
  <si>
    <t>21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</si>
  <si>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</si>
  <si>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</si>
  <si>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</si>
  <si>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</si>
  <si>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</si>
  <si>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</si>
  <si>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</si>
  <si>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</si>
  <si>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</si>
  <si>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</si>
  <si>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</si>
  <si>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</si>
  <si>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</si>
  <si>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</si>
  <si>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</si>
  <si>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</si>
  <si>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</si>
  <si>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</si>
  <si>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</si>
  <si>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</si>
  <si>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</si>
  <si>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</si>
  <si>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</si>
  <si>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</si>
  <si>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</si>
  <si>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</si>
  <si>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</si>
  <si>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</si>
  <si>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</si>
  <si>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</si>
  <si>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3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</si>
  <si>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</si>
  <si>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</si>
  <si>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</si>
  <si>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</si>
  <si>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</si>
  <si>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</si>
  <si>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</si>
  <si>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</si>
  <si>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</si>
  <si>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</si>
  <si>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</si>
  <si>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</si>
  <si>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</si>
  <si>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</si>
  <si>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</si>
  <si>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</si>
  <si>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</si>
  <si>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</si>
  <si>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</si>
  <si>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S.A.S Nagar</t>
  </si>
  <si>
    <t>Shahid Bhagat Singh Nagar</t>
  </si>
  <si>
    <t>SRI MUKTSAR SAHIB</t>
  </si>
  <si>
    <t>Tarn Taran</t>
  </si>
  <si>
    <t>8</t>
  </si>
  <si>
    <t>Ajmer</t>
  </si>
  <si>
    <t>Alwar</t>
  </si>
  <si>
    <t>Anoopgarh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</si>
  <si>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</si>
  <si>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</si>
  <si>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</si>
  <si>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</si>
  <si>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</si>
  <si>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</si>
  <si>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</si>
  <si>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</si>
  <si>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</si>
  <si>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</si>
  <si>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</si>
  <si>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</si>
  <si>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</si>
  <si>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</si>
  <si>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 Kuchaman</t>
  </si>
  <si>
    <t>Dudu</t>
  </si>
  <si>
    <t>Dungarpur</t>
  </si>
  <si>
    <t>Ganganagar</t>
  </si>
  <si>
    <t>Gangapurcity</t>
  </si>
  <si>
    <t>Hanumangarh</t>
  </si>
  <si>
    <t>Jaipur</t>
  </si>
  <si>
    <t>Jaipur Gramin</t>
  </si>
  <si>
    <t>Jaisalmer</t>
  </si>
  <si>
    <t>JALORE</t>
  </si>
  <si>
    <t>Jhalawar</t>
  </si>
  <si>
    <t>JHUNJHUNU</t>
  </si>
  <si>
    <t>Jodhpur</t>
  </si>
  <si>
    <t>Jodhpur Gramin</t>
  </si>
  <si>
    <t>Karauli</t>
  </si>
  <si>
    <t>Kekri</t>
  </si>
  <si>
    <t>Khairthal-Tijara</t>
  </si>
  <si>
    <t>Kota</t>
  </si>
  <si>
    <t>Kotputli-Behror</t>
  </si>
  <si>
    <t>Nagaur</t>
  </si>
  <si>
    <t>Neem Ka Thana</t>
  </si>
  <si>
    <t>Pali</t>
  </si>
  <si>
    <t>Phalodi</t>
  </si>
  <si>
    <t>Pratapgarh</t>
  </si>
  <si>
    <t>Rajsamand</t>
  </si>
  <si>
    <t>Salumbar</t>
  </si>
  <si>
    <t>Sanchor</t>
  </si>
  <si>
    <t>Sawai Madhopur</t>
  </si>
  <si>
    <t>Shahpura</t>
  </si>
  <si>
    <t>Sikar</t>
  </si>
  <si>
    <t>Sirohi</t>
  </si>
  <si>
    <t>Tonk</t>
  </si>
  <si>
    <t>Udaipur</t>
  </si>
  <si>
    <t>11</t>
  </si>
  <si>
    <t>Gangtok</t>
  </si>
  <si>
    <t>Gyalshing</t>
  </si>
  <si>
    <t>Mangan</t>
  </si>
  <si>
    <t>Namchi</t>
  </si>
  <si>
    <t>Pakyong</t>
  </si>
  <si>
    <t>Soreng</t>
  </si>
  <si>
    <t>33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</si>
  <si>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</si>
  <si>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</si>
  <si>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</si>
  <si>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</si>
  <si>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</si>
  <si>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</si>
  <si>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</si>
  <si>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</si>
  <si>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</si>
  <si>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</si>
  <si>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</si>
  <si>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</si>
  <si>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</si>
  <si>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</si>
  <si>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</si>
  <si>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</si>
  <si>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</si>
  <si>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</si>
  <si>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</si>
  <si>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</si>
  <si>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</si>
  <si>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</si>
  <si>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</si>
  <si>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</si>
  <si>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</si>
  <si>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</si>
  <si>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</si>
  <si>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</si>
  <si>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</si>
  <si>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</si>
  <si>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</si>
  <si>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</si>
  <si>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</si>
  <si>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</si>
  <si>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</si>
  <si>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</si>
  <si>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</si>
  <si>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</si>
  <si>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36</t>
  </si>
  <si>
    <t>Adilabad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</si>
  <si>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</si>
  <si>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</si>
  <si>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</si>
  <si>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</si>
  <si>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</si>
  <si>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</si>
  <si>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</si>
  <si>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</si>
  <si>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</si>
  <si>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</si>
  <si>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</si>
  <si>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</si>
  <si>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</si>
  <si>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</si>
  <si>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</si>
  <si>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</si>
  <si>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</si>
  <si>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</si>
  <si>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</si>
  <si>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</si>
  <si>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</si>
  <si>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</si>
  <si>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</si>
  <si>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</si>
  <si>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</si>
  <si>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</si>
  <si>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</si>
  <si>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</si>
  <si>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</si>
  <si>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</si>
  <si>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</si>
  <si>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</si>
  <si>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16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</si>
  <si>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</si>
  <si>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</si>
  <si>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</si>
  <si>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</si>
  <si>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</si>
  <si>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</si>
  <si>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</si>
  <si>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</si>
  <si>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9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</si>
  <si>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</si>
  <si>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</si>
  <si>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</si>
  <si>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</si>
  <si>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</si>
  <si>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</si>
  <si>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</si>
  <si>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</si>
  <si>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</si>
  <si>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</si>
  <si>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</si>
  <si>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</si>
  <si>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</si>
  <si>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</si>
  <si>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</si>
  <si>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</si>
  <si>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</si>
  <si>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</si>
  <si>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</si>
  <si>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</si>
  <si>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</si>
  <si>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</si>
  <si>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</si>
  <si>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</si>
  <si>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</si>
  <si>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</si>
  <si>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</si>
  <si>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</si>
  <si>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</si>
  <si>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</si>
  <si>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</si>
  <si>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</si>
  <si>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</si>
  <si>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</si>
  <si>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</si>
  <si>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</si>
  <si>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</si>
  <si>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</si>
  <si>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</si>
  <si>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</si>
  <si>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</si>
  <si>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</si>
  <si>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</si>
  <si>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</si>
  <si>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</si>
  <si>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</si>
  <si>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</si>
  <si>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</si>
  <si>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</si>
  <si>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</si>
  <si>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</si>
  <si>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</si>
  <si>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</si>
  <si>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</si>
  <si>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</si>
  <si>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</si>
  <si>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</si>
  <si>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</si>
  <si>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</si>
  <si>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</si>
  <si>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</si>
  <si>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</si>
  <si>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</si>
  <si>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</si>
  <si>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</si>
  <si>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</si>
  <si>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</si>
  <si>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</si>
  <si>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</si>
  <si>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</si>
  <si>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</si>
  <si>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</si>
  <si>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</si>
  <si>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5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</si>
  <si>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</si>
  <si>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</si>
  <si>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</si>
  <si>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</si>
  <si>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</si>
  <si>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</si>
  <si>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</si>
  <si>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</si>
  <si>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</si>
  <si>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</si>
  <si>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</si>
  <si>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</si>
  <si>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</si>
  <si>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19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</si>
  <si>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</si>
  <si>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</si>
  <si>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</si>
  <si>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</si>
  <si>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</si>
  <si>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</si>
  <si>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</si>
  <si>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</si>
  <si>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</si>
  <si>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</si>
  <si>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</si>
  <si>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</si>
  <si>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</si>
  <si>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</si>
  <si>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</si>
  <si>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</si>
  <si>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</si>
  <si>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</si>
  <si>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</si>
  <si>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</si>
  <si>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</si>
  <si>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</si>
  <si>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</si>
  <si>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35</t>
  </si>
  <si>
    <t>Nicobars</t>
  </si>
  <si>
    <t>NORTH and MIDDLE ANDAMAN</t>
  </si>
  <si>
    <t>South Andamans</t>
  </si>
  <si>
    <t>4</t>
  </si>
  <si>
    <t>Chandigarh</t>
  </si>
  <si>
    <t>7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</si>
  <si>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</si>
  <si>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</si>
  <si>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</si>
  <si>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</si>
  <si>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</si>
  <si>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</si>
  <si>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</si>
  <si>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</si>
  <si>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</si>
  <si>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</si>
  <si>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</si>
  <si>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31</t>
  </si>
  <si>
    <t>Lakshadweep District</t>
  </si>
  <si>
    <t>34</t>
  </si>
  <si>
    <t>Karaikal</t>
  </si>
  <si>
    <t>Mahe</t>
  </si>
  <si>
    <t>Puducherry</t>
  </si>
  <si>
    <t>Yanam</t>
  </si>
  <si>
    <t>1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</si>
  <si>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</si>
  <si>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</si>
  <si>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</si>
  <si>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</si>
  <si>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</si>
  <si>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</si>
  <si>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</si>
  <si>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</si>
  <si>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</si>
  <si>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</si>
  <si>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</si>
  <si>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</si>
  <si>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</si>
  <si>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</si>
  <si>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</si>
  <si>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</si>
  <si>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</si>
  <si>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</si>
  <si>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</si>
  <si>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</si>
  <si>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37</t>
  </si>
  <si>
    <t>Kargil</t>
  </si>
  <si>
    <t>LEH LADAKH</t>
  </si>
  <si>
    <t>38</t>
  </si>
  <si>
    <t>Dadra and Nagar Haveli</t>
  </si>
  <si>
    <t>Daman</t>
  </si>
  <si>
    <t>Diu</t>
  </si>
  <si>
    <t xml:space="preserve"> Jammu and Kashmir</t>
  </si>
  <si>
    <t xml:space="preserve"> Bihar</t>
  </si>
  <si>
    <t xml:space="preserve"> Sikkim</t>
  </si>
  <si>
    <t xml:space="preserve"> Arunachal Pradesh</t>
  </si>
  <si>
    <t xml:space="preserve"> Nagaland</t>
  </si>
  <si>
    <t xml:space="preserve"> Manipur</t>
  </si>
  <si>
    <t xml:space="preserve"> Mizoram</t>
  </si>
  <si>
    <t xml:space="preserve"> Tripura</t>
  </si>
  <si>
    <t xml:space="preserve"> Meghalaya</t>
  </si>
  <si>
    <t xml:space="preserve"> Assam</t>
  </si>
  <si>
    <t xml:space="preserve"> West Bengal</t>
  </si>
  <si>
    <t xml:space="preserve"> Jharkhand</t>
  </si>
  <si>
    <t xml:space="preserve"> Odisha</t>
  </si>
  <si>
    <t xml:space="preserve"> Chhattisgarh</t>
  </si>
  <si>
    <t xml:space="preserve"> Madhya Pradesh</t>
  </si>
  <si>
    <t xml:space="preserve"> Gujarat</t>
  </si>
  <si>
    <t xml:space="preserve"> Maharashtra</t>
  </si>
  <si>
    <t xml:space="preserve"> Andhra Pradesh</t>
  </si>
  <si>
    <t xml:space="preserve"> Karnataka</t>
  </si>
  <si>
    <t xml:space="preserve"> Punjab</t>
  </si>
  <si>
    <t xml:space="preserve"> Goa</t>
  </si>
  <si>
    <t xml:space="preserve"> Lakshadweep</t>
  </si>
  <si>
    <t xml:space="preserve"> Kerala</t>
  </si>
  <si>
    <t xml:space="preserve"> Tamil Nadu</t>
  </si>
  <si>
    <t xml:space="preserve"> Puducherry</t>
  </si>
  <si>
    <t xml:space="preserve"> Andaman and Nicobar Islands</t>
  </si>
  <si>
    <t xml:space="preserve"> Telangana</t>
  </si>
  <si>
    <t xml:space="preserve"> Ladakh</t>
  </si>
  <si>
    <t xml:space="preserve"> Dadra and Nagar Haveli and Daman and Diu</t>
  </si>
  <si>
    <t xml:space="preserve"> Chandigarh</t>
  </si>
  <si>
    <t xml:space="preserve"> Uttarakhand</t>
  </si>
  <si>
    <t xml:space="preserve"> Haryana</t>
  </si>
  <si>
    <t xml:space="preserve"> NCT of Delhi</t>
  </si>
  <si>
    <t xml:space="preserve"> Rajasthan</t>
  </si>
  <si>
    <t xml:space="preserve"> Uttar Pradesh</t>
  </si>
  <si>
    <t>state_id</t>
  </si>
  <si>
    <t>states</t>
  </si>
  <si>
    <t>Pending</t>
  </si>
  <si>
    <t>efficiency_percent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</si>
</sst>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0" fillId="0" borderId="0" xfId="0" applyNumberFormat="1"/>
    <xf numFmtId="4" fontId="0" fillId="0" borderId="0" xfId="0" applyNumberFormat="1"/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9">
    <dxf>
      <numFmt numFmtId="14" formatCode="0.00%"/>
    </dxf>
    <dxf>
      <numFmt numFmtId="1" formatCode="0"/>
    </dxf>
    <dxf>
      <numFmt numFmtId="4" formatCode="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93731E-A9AF-468A-9784-370E27AC775F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state" tableColumnId="1"/>
      <queryTableField id="8" dataBound="0" tableColumnId="8"/>
      <queryTableField id="2" name="district" tableColumnId="2"/>
      <queryTableField id="3" name="applications" tableColumnId="3"/>
      <queryTableField id="4" name="installations" tableColumnId="4"/>
      <queryTableField id="5" name="households" tableColumnId="5"/>
      <queryTableField id="6" name="installationCapacity_KW" tableColumnId="6"/>
      <queryTableField id="7" name="subsidy_Amount" tableColumnId="7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BA20E8-DD90-4316-A542-30F61EC487EB}" name="pmsurya" displayName="pmsurya" ref="A1:J774" tableType="queryTable" totalsRowShown="0">
  <autoFilter ref="A1:J774" xr:uid="{71BA20E8-DD90-4316-A542-30F61EC487EB}"/>
  <sortState xmlns:xlrd2="http://schemas.microsoft.com/office/spreadsheetml/2017/richdata2" ref="A2:H774">
    <sortCondition ref="A2:A774"/>
  </sortState>
  <tableColumns count="10">
    <tableColumn id="1" xr3:uid="{4F4A0CEE-079F-4E31-AFCD-8326FCAA32E0}" uniqueName="1" name="state" queryTableFieldId="1" dataDxfId="7"/>
    <tableColumn id="8" xr3:uid="{DBE461F8-1C25-4F76-B270-01730A020510}" uniqueName="8" name="states" queryTableFieldId="8" dataDxfId="8">
      <calculatedColumnFormula>VLOOKUP(pmsurya[[#This Row],[state]],State!$A$2:$B$37,2,0)</calculatedColumnFormula>
    </tableColumn>
    <tableColumn id="2" xr3:uid="{C85073FA-6837-4B6C-AC46-C2FB8FAF1C12}" uniqueName="2" name="district" queryTableFieldId="2"/>
    <tableColumn id="3" xr3:uid="{A62789F2-B073-4F06-8D86-03EBE6FEBDBE}" uniqueName="3" name="applications" queryTableFieldId="3" dataDxfId="6"/>
    <tableColumn id="4" xr3:uid="{D9DB4F05-4D20-4756-8303-41A4D32C015A}" uniqueName="4" name="installations" queryTableFieldId="4" dataDxfId="5"/>
    <tableColumn id="5" xr3:uid="{FE4EDC3D-7736-4CE1-972C-C2D4CB8C124A}" uniqueName="5" name="households" queryTableFieldId="5" dataDxfId="4"/>
    <tableColumn id="6" xr3:uid="{B632AC90-AE6B-4213-B1D0-28CF7A7A6EF9}" uniqueName="6" name="installationCapacity_KW" queryTableFieldId="6" dataDxfId="3"/>
    <tableColumn id="7" xr3:uid="{96996E49-10C5-4716-88AB-6E0C7D8F1690}" uniqueName="7" name="subsidy_Amount" queryTableFieldId="7" dataDxfId="2"/>
    <tableColumn id="9" xr3:uid="{04B78B77-16C3-4EA1-B009-2EB3CCB9C450}" uniqueName="9" name="Pending" queryTableFieldId="9" dataDxfId="1">
      <calculatedColumnFormula>pmsurya[[#This Row],[applications]]-pmsurya[[#This Row],[installations]]</calculatedColumnFormula>
    </tableColumn>
    <tableColumn id="10" xr3:uid="{CEEB8953-8335-4B52-9CD2-C73EFD093859}" uniqueName="10" name="efficiency_percent" queryTableFieldId="10" dataDxfId="0">
      <calculatedColumnFormula>(pmsurya[[#This Row],[installations]]/pmsurya[[#This Row],[applications]])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3461-2263-4596-BEE9-6A8BE4CA265C}">
  <dimension ref="A1:J774"/>
  <sheetViews>
    <sheetView tabSelected="1" workbookViewId="0">
      <selection activeCell="J1" sqref="J1:J1048576"/>
    </sheetView>
  </sheetViews>
  <sheetFormatPr defaultRowHeight="14.4" x14ac:dyDescent="0.3"/>
  <cols>
    <col min="1" max="1" width="7.33203125" style="3" bestFit="1" customWidth="1"/>
    <col min="2" max="2" width="35.6640625" bestFit="1" customWidth="1"/>
    <col min="3" max="3" width="13.33203125" bestFit="1" customWidth="1"/>
    <col min="4" max="4" width="13.21875" style="5" bestFit="1" customWidth="1"/>
    <col min="5" max="5" width="12.88671875" style="5" bestFit="1" customWidth="1"/>
    <col min="6" max="6" width="23.88671875" style="5" bestFit="1" customWidth="1"/>
    <col min="7" max="7" width="17.5546875" style="5" bestFit="1" customWidth="1"/>
    <col min="8" max="8" width="20.6640625" style="4" customWidth="1"/>
    <col min="9" max="9" width="9.5546875" style="5" bestFit="1" customWidth="1"/>
    <col min="10" max="10" width="8.88671875" style="6"/>
  </cols>
  <sheetData>
    <row r="1" spans="1:10" x14ac:dyDescent="0.3">
      <c r="A1" s="3" t="s">
        <v>1</v>
      </c>
      <c r="B1" t="s">
        <v>849</v>
      </c>
      <c r="C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5" t="s">
        <v>850</v>
      </c>
      <c r="J1" s="6" t="s">
        <v>851</v>
      </c>
    </row>
    <row r="2" spans="1:10" x14ac:dyDescent="0.3">
      <c r="A2" s="3" t="s">
        <v>785</v>
      </c>
      <c r="B2" t="str">
        <f>VLOOKUP(pmsurya[[#This Row],[state]],State!$A$2:$B$37,2,0)</f>
        <v xml:space="preserve"> Jammu and Kashmir</v>
      </c>
      <c r="C2" t="s">
        <v>786</v>
      </c>
      <c r="D2" s="5">
        <v>5254</v>
      </c>
      <c r="E2" s="5">
        <v>2394</v>
      </c>
      <c r="F2" s="5">
        <v>2394</v>
      </c>
      <c r="G2" s="5">
        <v>8258</v>
      </c>
      <c r="H2" s="4">
        <v>184935894</v>
      </c>
      <c r="I2" s="5">
        <f>pmsurya[[#This Row],[applications]]-pmsurya[[#This Row],[installations]]</f>
        <v>2860</v>
      </c>
      <c r="J2" s="6">
        <f>(pmsurya[[#This Row],[installations]]/pmsurya[[#This Row],[applications]])</f>
        <v>0.4556528359345261</v>
      </c>
    </row>
    <row r="3" spans="1:10" x14ac:dyDescent="0.3">
      <c r="A3" s="3" t="s">
        <v>785</v>
      </c>
      <c r="B3" t="str">
        <f>VLOOKUP(pmsurya[[#This Row],[state]],State!$A$2:$B$37,2,0)</f>
        <v xml:space="preserve"> Jammu and Kashmir</v>
      </c>
      <c r="C3" t="s">
        <v>787</v>
      </c>
      <c r="D3" s="5">
        <v>2514</v>
      </c>
      <c r="E3" s="5">
        <v>958</v>
      </c>
      <c r="F3" s="5">
        <v>958</v>
      </c>
      <c r="G3" s="5">
        <v>3266</v>
      </c>
      <c r="H3" s="4">
        <v>77300355</v>
      </c>
      <c r="I3" s="5">
        <f>pmsurya[[#This Row],[applications]]-pmsurya[[#This Row],[installations]]</f>
        <v>1556</v>
      </c>
      <c r="J3" s="6">
        <f>(pmsurya[[#This Row],[installations]]/pmsurya[[#This Row],[applications]])</f>
        <v>0.38106603023070801</v>
      </c>
    </row>
    <row r="4" spans="1:10" x14ac:dyDescent="0.3">
      <c r="A4" s="3" t="s">
        <v>785</v>
      </c>
      <c r="B4" t="str">
        <f>VLOOKUP(pmsurya[[#This Row],[state]],State!$A$2:$B$37,2,0)</f>
        <v xml:space="preserve"> Jammu and Kashmir</v>
      </c>
      <c r="C4" t="s">
        <v>788</v>
      </c>
      <c r="D4" s="5">
        <v>6830</v>
      </c>
      <c r="E4" s="5">
        <v>2132</v>
      </c>
      <c r="F4" s="5">
        <v>2132</v>
      </c>
      <c r="G4" s="5">
        <v>7490</v>
      </c>
      <c r="H4" s="4">
        <v>162755175</v>
      </c>
      <c r="I4" s="5">
        <f>pmsurya[[#This Row],[applications]]-pmsurya[[#This Row],[installations]]</f>
        <v>4698</v>
      </c>
      <c r="J4" s="6">
        <f>(pmsurya[[#This Row],[installations]]/pmsurya[[#This Row],[applications]])</f>
        <v>0.31215226939970719</v>
      </c>
    </row>
    <row r="5" spans="1:10" x14ac:dyDescent="0.3">
      <c r="A5" s="3" t="s">
        <v>785</v>
      </c>
      <c r="B5" t="str">
        <f>VLOOKUP(pmsurya[[#This Row],[state]],State!$A$2:$B$37,2,0)</f>
        <v xml:space="preserve"> Jammu and Kashmir</v>
      </c>
      <c r="C5" t="s">
        <v>789</v>
      </c>
      <c r="D5" s="5">
        <v>5642</v>
      </c>
      <c r="E5" s="5">
        <v>1899</v>
      </c>
      <c r="F5" s="5">
        <v>1899</v>
      </c>
      <c r="G5" s="5">
        <v>6912</v>
      </c>
      <c r="H5" s="4">
        <v>143869275</v>
      </c>
      <c r="I5" s="5">
        <f>pmsurya[[#This Row],[applications]]-pmsurya[[#This Row],[installations]]</f>
        <v>3743</v>
      </c>
      <c r="J5" s="6">
        <f>(pmsurya[[#This Row],[installations]]/pmsurya[[#This Row],[applications]])</f>
        <v>0.33658277206664305</v>
      </c>
    </row>
    <row r="6" spans="1:10" x14ac:dyDescent="0.3">
      <c r="A6" s="3" t="s">
        <v>785</v>
      </c>
      <c r="B6" t="str">
        <f>VLOOKUP(pmsurya[[#This Row],[state]],State!$A$2:$B$37,2,0)</f>
        <v xml:space="preserve"> Jammu and Kashmir</v>
      </c>
      <c r="C6" t="s">
        <v>790</v>
      </c>
      <c r="D6" s="5">
        <v>2995</v>
      </c>
      <c r="E6" s="5">
        <v>1343</v>
      </c>
      <c r="F6" s="5">
        <v>1487</v>
      </c>
      <c r="G6" s="5">
        <v>4452</v>
      </c>
      <c r="H6" s="4">
        <v>95928987</v>
      </c>
      <c r="I6" s="5">
        <f>pmsurya[[#This Row],[applications]]-pmsurya[[#This Row],[installations]]</f>
        <v>1652</v>
      </c>
      <c r="J6" s="6">
        <f>(pmsurya[[#This Row],[installations]]/pmsurya[[#This Row],[applications]])</f>
        <v>0.44841402337228714</v>
      </c>
    </row>
    <row r="7" spans="1:10" x14ac:dyDescent="0.3">
      <c r="A7" s="3" t="s">
        <v>785</v>
      </c>
      <c r="B7" t="str">
        <f>VLOOKUP(pmsurya[[#This Row],[state]],State!$A$2:$B$37,2,0)</f>
        <v xml:space="preserve"> Jammu and Kashmir</v>
      </c>
      <c r="C7" t="s">
        <v>791</v>
      </c>
      <c r="D7" s="5">
        <v>3015</v>
      </c>
      <c r="E7" s="5">
        <v>983</v>
      </c>
      <c r="F7" s="5">
        <v>983</v>
      </c>
      <c r="G7" s="5">
        <v>3487</v>
      </c>
      <c r="H7" s="4">
        <v>75332400</v>
      </c>
      <c r="I7" s="5">
        <f>pmsurya[[#This Row],[applications]]-pmsurya[[#This Row],[installations]]</f>
        <v>2032</v>
      </c>
      <c r="J7" s="6">
        <f>(pmsurya[[#This Row],[installations]]/pmsurya[[#This Row],[applications]])</f>
        <v>0.32603648424543946</v>
      </c>
    </row>
    <row r="8" spans="1:10" x14ac:dyDescent="0.3">
      <c r="A8" s="3" t="s">
        <v>785</v>
      </c>
      <c r="B8" t="str">
        <f>VLOOKUP(pmsurya[[#This Row],[state]],State!$A$2:$B$37,2,0)</f>
        <v xml:space="preserve"> Jammu and Kashmir</v>
      </c>
      <c r="C8" t="s">
        <v>792</v>
      </c>
      <c r="D8" s="5">
        <v>9044</v>
      </c>
      <c r="E8" s="5">
        <v>4862</v>
      </c>
      <c r="F8" s="5">
        <v>4862</v>
      </c>
      <c r="G8" s="5">
        <v>18163</v>
      </c>
      <c r="H8" s="4">
        <v>363494901</v>
      </c>
      <c r="I8" s="5">
        <f>pmsurya[[#This Row],[applications]]-pmsurya[[#This Row],[installations]]</f>
        <v>4182</v>
      </c>
      <c r="J8" s="6">
        <f>(pmsurya[[#This Row],[installations]]/pmsurya[[#This Row],[applications]])</f>
        <v>0.53759398496240607</v>
      </c>
    </row>
    <row r="9" spans="1:10" x14ac:dyDescent="0.3">
      <c r="A9" s="3" t="s">
        <v>785</v>
      </c>
      <c r="B9" t="str">
        <f>VLOOKUP(pmsurya[[#This Row],[state]],State!$A$2:$B$37,2,0)</f>
        <v xml:space="preserve"> Jammu and Kashmir</v>
      </c>
      <c r="C9" t="s">
        <v>793</v>
      </c>
      <c r="D9" s="5">
        <v>3503</v>
      </c>
      <c r="E9" s="5">
        <v>2083</v>
      </c>
      <c r="F9" s="5">
        <v>2083</v>
      </c>
      <c r="G9" s="5">
        <v>7264</v>
      </c>
      <c r="H9" s="4">
        <v>153415482</v>
      </c>
      <c r="I9" s="5">
        <f>pmsurya[[#This Row],[applications]]-pmsurya[[#This Row],[installations]]</f>
        <v>1420</v>
      </c>
      <c r="J9" s="6">
        <f>(pmsurya[[#This Row],[installations]]/pmsurya[[#This Row],[applications]])</f>
        <v>0.59463317156722806</v>
      </c>
    </row>
    <row r="10" spans="1:10" x14ac:dyDescent="0.3">
      <c r="A10" s="3" t="s">
        <v>785</v>
      </c>
      <c r="B10" t="str">
        <f>VLOOKUP(pmsurya[[#This Row],[state]],State!$A$2:$B$37,2,0)</f>
        <v xml:space="preserve"> Jammu and Kashmir</v>
      </c>
      <c r="C10" t="s">
        <v>794</v>
      </c>
      <c r="D10" s="5">
        <v>2015</v>
      </c>
      <c r="E10" s="5">
        <v>453</v>
      </c>
      <c r="F10" s="5">
        <v>453</v>
      </c>
      <c r="G10" s="5">
        <v>1482</v>
      </c>
      <c r="H10" s="4">
        <v>34950465</v>
      </c>
      <c r="I10" s="5">
        <f>pmsurya[[#This Row],[applications]]-pmsurya[[#This Row],[installations]]</f>
        <v>1562</v>
      </c>
      <c r="J10" s="6">
        <f>(pmsurya[[#This Row],[installations]]/pmsurya[[#This Row],[applications]])</f>
        <v>0.22481389578163771</v>
      </c>
    </row>
    <row r="11" spans="1:10" x14ac:dyDescent="0.3">
      <c r="A11" s="3" t="s">
        <v>785</v>
      </c>
      <c r="B11" t="str">
        <f>VLOOKUP(pmsurya[[#This Row],[state]],State!$A$2:$B$37,2,0)</f>
        <v xml:space="preserve"> Jammu and Kashmir</v>
      </c>
      <c r="C11" t="s">
        <v>795</v>
      </c>
      <c r="D11" s="5">
        <v>3483</v>
      </c>
      <c r="E11" s="5">
        <v>976</v>
      </c>
      <c r="F11" s="5">
        <v>976</v>
      </c>
      <c r="G11" s="5">
        <v>3315</v>
      </c>
      <c r="H11" s="4">
        <v>74957520</v>
      </c>
      <c r="I11" s="5">
        <f>pmsurya[[#This Row],[applications]]-pmsurya[[#This Row],[installations]]</f>
        <v>2507</v>
      </c>
      <c r="J11" s="6">
        <f>(pmsurya[[#This Row],[installations]]/pmsurya[[#This Row],[applications]])</f>
        <v>0.28021820269882286</v>
      </c>
    </row>
    <row r="12" spans="1:10" x14ac:dyDescent="0.3">
      <c r="A12" s="3" t="s">
        <v>785</v>
      </c>
      <c r="B12" t="str">
        <f>VLOOKUP(pmsurya[[#This Row],[state]],State!$A$2:$B$37,2,0)</f>
        <v xml:space="preserve"> Jammu and Kashmir</v>
      </c>
      <c r="C12" t="s">
        <v>796</v>
      </c>
      <c r="D12" s="5">
        <v>22185</v>
      </c>
      <c r="E12" s="5">
        <v>3419</v>
      </c>
      <c r="F12" s="5">
        <v>3419</v>
      </c>
      <c r="G12" s="5">
        <v>10856</v>
      </c>
      <c r="H12" s="4">
        <v>251903850</v>
      </c>
      <c r="I12" s="5">
        <f>pmsurya[[#This Row],[applications]]-pmsurya[[#This Row],[installations]]</f>
        <v>18766</v>
      </c>
      <c r="J12" s="6">
        <f>(pmsurya[[#This Row],[installations]]/pmsurya[[#This Row],[applications]])</f>
        <v>0.15411313950867703</v>
      </c>
    </row>
    <row r="13" spans="1:10" x14ac:dyDescent="0.3">
      <c r="A13" s="3" t="s">
        <v>785</v>
      </c>
      <c r="B13" t="str">
        <f>VLOOKUP(pmsurya[[#This Row],[state]],State!$A$2:$B$37,2,0)</f>
        <v xml:space="preserve"> Jammu and Kashmir</v>
      </c>
      <c r="C13" t="s">
        <v>797</v>
      </c>
      <c r="D13" s="5">
        <v>1408</v>
      </c>
      <c r="E13" s="5">
        <v>365</v>
      </c>
      <c r="F13" s="5">
        <v>377</v>
      </c>
      <c r="G13" s="5">
        <v>1095</v>
      </c>
      <c r="H13" s="4">
        <v>25935294</v>
      </c>
      <c r="I13" s="5">
        <f>pmsurya[[#This Row],[applications]]-pmsurya[[#This Row],[installations]]</f>
        <v>1043</v>
      </c>
      <c r="J13" s="6">
        <f>(pmsurya[[#This Row],[installations]]/pmsurya[[#This Row],[applications]])</f>
        <v>0.25923295454545453</v>
      </c>
    </row>
    <row r="14" spans="1:10" x14ac:dyDescent="0.3">
      <c r="A14" s="3" t="s">
        <v>785</v>
      </c>
      <c r="B14" t="str">
        <f>VLOOKUP(pmsurya[[#This Row],[state]],State!$A$2:$B$37,2,0)</f>
        <v xml:space="preserve"> Jammu and Kashmir</v>
      </c>
      <c r="C14" t="s">
        <v>798</v>
      </c>
      <c r="D14" s="5">
        <v>3891</v>
      </c>
      <c r="E14" s="5">
        <v>1796</v>
      </c>
      <c r="F14" s="5">
        <v>1796</v>
      </c>
      <c r="G14" s="5">
        <v>6443</v>
      </c>
      <c r="H14" s="4">
        <v>137655045</v>
      </c>
      <c r="I14" s="5">
        <f>pmsurya[[#This Row],[applications]]-pmsurya[[#This Row],[installations]]</f>
        <v>2095</v>
      </c>
      <c r="J14" s="6">
        <f>(pmsurya[[#This Row],[installations]]/pmsurya[[#This Row],[applications]])</f>
        <v>0.46157800051400666</v>
      </c>
    </row>
    <row r="15" spans="1:10" x14ac:dyDescent="0.3">
      <c r="A15" s="3" t="s">
        <v>785</v>
      </c>
      <c r="B15" t="str">
        <f>VLOOKUP(pmsurya[[#This Row],[state]],State!$A$2:$B$37,2,0)</f>
        <v xml:space="preserve"> Jammu and Kashmir</v>
      </c>
      <c r="C15" t="s">
        <v>799</v>
      </c>
      <c r="D15" s="5">
        <v>2282</v>
      </c>
      <c r="E15" s="5">
        <v>973</v>
      </c>
      <c r="F15" s="5">
        <v>973</v>
      </c>
      <c r="G15" s="5">
        <v>3340</v>
      </c>
      <c r="H15" s="4">
        <v>76093512</v>
      </c>
      <c r="I15" s="5">
        <f>pmsurya[[#This Row],[applications]]-pmsurya[[#This Row],[installations]]</f>
        <v>1309</v>
      </c>
      <c r="J15" s="6">
        <f>(pmsurya[[#This Row],[installations]]/pmsurya[[#This Row],[applications]])</f>
        <v>0.42638036809815949</v>
      </c>
    </row>
    <row r="16" spans="1:10" x14ac:dyDescent="0.3">
      <c r="A16" s="3" t="s">
        <v>785</v>
      </c>
      <c r="B16" t="str">
        <f>VLOOKUP(pmsurya[[#This Row],[state]],State!$A$2:$B$37,2,0)</f>
        <v xml:space="preserve"> Jammu and Kashmir</v>
      </c>
      <c r="C16" t="s">
        <v>800</v>
      </c>
      <c r="D16" s="5">
        <v>1283</v>
      </c>
      <c r="E16" s="5">
        <v>529</v>
      </c>
      <c r="F16" s="5">
        <v>529</v>
      </c>
      <c r="G16" s="5">
        <v>1724</v>
      </c>
      <c r="H16" s="4">
        <v>40539543</v>
      </c>
      <c r="I16" s="5">
        <f>pmsurya[[#This Row],[applications]]-pmsurya[[#This Row],[installations]]</f>
        <v>754</v>
      </c>
      <c r="J16" s="6">
        <f>(pmsurya[[#This Row],[installations]]/pmsurya[[#This Row],[applications]])</f>
        <v>0.41231488698363211</v>
      </c>
    </row>
    <row r="17" spans="1:10" x14ac:dyDescent="0.3">
      <c r="A17" s="3" t="s">
        <v>785</v>
      </c>
      <c r="B17" t="str">
        <f>VLOOKUP(pmsurya[[#This Row],[state]],State!$A$2:$B$37,2,0)</f>
        <v xml:space="preserve"> Jammu and Kashmir</v>
      </c>
      <c r="C17" t="s">
        <v>801</v>
      </c>
      <c r="D17" s="5">
        <v>1476</v>
      </c>
      <c r="E17" s="5">
        <v>484</v>
      </c>
      <c r="F17" s="5">
        <v>484</v>
      </c>
      <c r="G17" s="5">
        <v>1577</v>
      </c>
      <c r="H17" s="4">
        <v>36671910</v>
      </c>
      <c r="I17" s="5">
        <f>pmsurya[[#This Row],[applications]]-pmsurya[[#This Row],[installations]]</f>
        <v>992</v>
      </c>
      <c r="J17" s="6">
        <f>(pmsurya[[#This Row],[installations]]/pmsurya[[#This Row],[applications]])</f>
        <v>0.32791327913279134</v>
      </c>
    </row>
    <row r="18" spans="1:10" x14ac:dyDescent="0.3">
      <c r="A18" s="3" t="s">
        <v>785</v>
      </c>
      <c r="B18" t="str">
        <f>VLOOKUP(pmsurya[[#This Row],[state]],State!$A$2:$B$37,2,0)</f>
        <v xml:space="preserve"> Jammu and Kashmir</v>
      </c>
      <c r="C18" t="s">
        <v>802</v>
      </c>
      <c r="D18" s="5">
        <v>3245</v>
      </c>
      <c r="E18" s="5">
        <v>1082</v>
      </c>
      <c r="F18" s="5">
        <v>1082</v>
      </c>
      <c r="G18" s="5">
        <v>3703</v>
      </c>
      <c r="H18" s="4">
        <v>81319689</v>
      </c>
      <c r="I18" s="5">
        <f>pmsurya[[#This Row],[applications]]-pmsurya[[#This Row],[installations]]</f>
        <v>2163</v>
      </c>
      <c r="J18" s="6">
        <f>(pmsurya[[#This Row],[installations]]/pmsurya[[#This Row],[applications]])</f>
        <v>0.33343605546995375</v>
      </c>
    </row>
    <row r="19" spans="1:10" x14ac:dyDescent="0.3">
      <c r="A19" s="3" t="s">
        <v>785</v>
      </c>
      <c r="B19" t="str">
        <f>VLOOKUP(pmsurya[[#This Row],[state]],State!$A$2:$B$37,2,0)</f>
        <v xml:space="preserve"> Jammu and Kashmir</v>
      </c>
      <c r="C19" t="s">
        <v>803</v>
      </c>
      <c r="D19" s="5">
        <v>7336</v>
      </c>
      <c r="E19" s="5">
        <v>1376</v>
      </c>
      <c r="F19" s="5">
        <v>1376</v>
      </c>
      <c r="G19" s="5">
        <v>4665</v>
      </c>
      <c r="H19" s="4">
        <v>106279800</v>
      </c>
      <c r="I19" s="5">
        <f>pmsurya[[#This Row],[applications]]-pmsurya[[#This Row],[installations]]</f>
        <v>5960</v>
      </c>
      <c r="J19" s="6">
        <f>(pmsurya[[#This Row],[installations]]/pmsurya[[#This Row],[applications]])</f>
        <v>0.18756815703380589</v>
      </c>
    </row>
    <row r="20" spans="1:10" x14ac:dyDescent="0.3">
      <c r="A20" s="3" t="s">
        <v>785</v>
      </c>
      <c r="B20" t="str">
        <f>VLOOKUP(pmsurya[[#This Row],[state]],State!$A$2:$B$37,2,0)</f>
        <v xml:space="preserve"> Jammu and Kashmir</v>
      </c>
      <c r="C20" t="s">
        <v>804</v>
      </c>
      <c r="D20" s="5">
        <v>10467</v>
      </c>
      <c r="E20" s="5">
        <v>5945</v>
      </c>
      <c r="F20" s="5">
        <v>5945</v>
      </c>
      <c r="G20" s="5">
        <v>24472</v>
      </c>
      <c r="H20" s="4">
        <v>467381079</v>
      </c>
      <c r="I20" s="5">
        <f>pmsurya[[#This Row],[applications]]-pmsurya[[#This Row],[installations]]</f>
        <v>4522</v>
      </c>
      <c r="J20" s="6">
        <f>(pmsurya[[#This Row],[installations]]/pmsurya[[#This Row],[applications]])</f>
        <v>0.56797554218018531</v>
      </c>
    </row>
    <row r="21" spans="1:10" x14ac:dyDescent="0.3">
      <c r="A21" s="3" t="s">
        <v>785</v>
      </c>
      <c r="B21" t="str">
        <f>VLOOKUP(pmsurya[[#This Row],[state]],State!$A$2:$B$37,2,0)</f>
        <v xml:space="preserve"> Jammu and Kashmir</v>
      </c>
      <c r="C21" t="s">
        <v>805</v>
      </c>
      <c r="D21" s="5">
        <v>3201</v>
      </c>
      <c r="E21" s="5">
        <v>1020</v>
      </c>
      <c r="F21" s="5">
        <v>1020</v>
      </c>
      <c r="G21" s="5">
        <v>3521</v>
      </c>
      <c r="H21" s="4">
        <v>68496945</v>
      </c>
      <c r="I21" s="5">
        <f>pmsurya[[#This Row],[applications]]-pmsurya[[#This Row],[installations]]</f>
        <v>2181</v>
      </c>
      <c r="J21" s="6">
        <f>(pmsurya[[#This Row],[installations]]/pmsurya[[#This Row],[applications]])</f>
        <v>0.31865042174320524</v>
      </c>
    </row>
    <row r="22" spans="1:10" x14ac:dyDescent="0.3">
      <c r="A22" s="3" t="s">
        <v>88</v>
      </c>
      <c r="B22" t="str">
        <f>VLOOKUP(pmsurya[[#This Row],[state]],State!$A$2:$B$37,2,0)</f>
        <v xml:space="preserve"> Bihar</v>
      </c>
      <c r="C22" t="s">
        <v>89</v>
      </c>
      <c r="D22" s="5">
        <v>1832</v>
      </c>
      <c r="E22" s="5">
        <v>37</v>
      </c>
      <c r="F22" s="5">
        <v>37</v>
      </c>
      <c r="G22" s="5">
        <v>127</v>
      </c>
      <c r="H22" s="4">
        <v>2481240</v>
      </c>
      <c r="I22" s="5">
        <f>pmsurya[[#This Row],[applications]]-pmsurya[[#This Row],[installations]]</f>
        <v>1795</v>
      </c>
      <c r="J22" s="6">
        <f>(pmsurya[[#This Row],[installations]]/pmsurya[[#This Row],[applications]])</f>
        <v>2.0196506550218339E-2</v>
      </c>
    </row>
    <row r="23" spans="1:10" x14ac:dyDescent="0.3">
      <c r="A23" s="3" t="s">
        <v>88</v>
      </c>
      <c r="B23" t="str">
        <f>VLOOKUP(pmsurya[[#This Row],[state]],State!$A$2:$B$37,2,0)</f>
        <v xml:space="preserve"> Bihar</v>
      </c>
      <c r="C23" t="s">
        <v>90</v>
      </c>
      <c r="D23" s="5">
        <v>303</v>
      </c>
      <c r="E23" s="5">
        <v>84</v>
      </c>
      <c r="F23" s="5">
        <v>84</v>
      </c>
      <c r="G23" s="5">
        <v>277</v>
      </c>
      <c r="H23" s="4">
        <v>5758740</v>
      </c>
      <c r="I23" s="5">
        <f>pmsurya[[#This Row],[applications]]-pmsurya[[#This Row],[installations]]</f>
        <v>219</v>
      </c>
      <c r="J23" s="6">
        <f>(pmsurya[[#This Row],[installations]]/pmsurya[[#This Row],[applications]])</f>
        <v>0.27722772277227725</v>
      </c>
    </row>
    <row r="24" spans="1:10" x14ac:dyDescent="0.3">
      <c r="A24" s="3" t="s">
        <v>88</v>
      </c>
      <c r="B24" t="str">
        <f>VLOOKUP(pmsurya[[#This Row],[state]],State!$A$2:$B$37,2,0)</f>
        <v xml:space="preserve"> Bihar</v>
      </c>
      <c r="C24" t="s">
        <v>91</v>
      </c>
      <c r="D24" s="5">
        <v>1016</v>
      </c>
      <c r="E24" s="5">
        <v>171</v>
      </c>
      <c r="F24" s="5">
        <v>171</v>
      </c>
      <c r="G24" s="5">
        <v>643</v>
      </c>
      <c r="H24" s="4">
        <v>10655910</v>
      </c>
      <c r="I24" s="5">
        <f>pmsurya[[#This Row],[applications]]-pmsurya[[#This Row],[installations]]</f>
        <v>845</v>
      </c>
      <c r="J24" s="6">
        <f>(pmsurya[[#This Row],[installations]]/pmsurya[[#This Row],[applications]])</f>
        <v>0.16830708661417323</v>
      </c>
    </row>
    <row r="25" spans="1:10" x14ac:dyDescent="0.3">
      <c r="A25" s="3" t="s">
        <v>88</v>
      </c>
      <c r="B25" t="str">
        <f>VLOOKUP(pmsurya[[#This Row],[state]],State!$A$2:$B$37,2,0)</f>
        <v xml:space="preserve"> Bihar</v>
      </c>
      <c r="C25" t="s">
        <v>92</v>
      </c>
      <c r="D25" s="5">
        <v>1133</v>
      </c>
      <c r="E25" s="5">
        <v>136</v>
      </c>
      <c r="F25" s="5">
        <v>136</v>
      </c>
      <c r="G25" s="5">
        <v>458</v>
      </c>
      <c r="H25" s="4">
        <v>8213880</v>
      </c>
      <c r="I25" s="5">
        <f>pmsurya[[#This Row],[applications]]-pmsurya[[#This Row],[installations]]</f>
        <v>997</v>
      </c>
      <c r="J25" s="6">
        <f>(pmsurya[[#This Row],[installations]]/pmsurya[[#This Row],[applications]])</f>
        <v>0.12003530450132392</v>
      </c>
    </row>
    <row r="26" spans="1:10" x14ac:dyDescent="0.3">
      <c r="A26" s="3" t="s">
        <v>88</v>
      </c>
      <c r="B26" t="str">
        <f>VLOOKUP(pmsurya[[#This Row],[state]],State!$A$2:$B$37,2,0)</f>
        <v xml:space="preserve"> Bihar</v>
      </c>
      <c r="C26" t="s">
        <v>93</v>
      </c>
      <c r="D26" s="5">
        <v>1528</v>
      </c>
      <c r="E26" s="5">
        <v>440</v>
      </c>
      <c r="F26" s="5">
        <v>440</v>
      </c>
      <c r="G26" s="5">
        <v>1545</v>
      </c>
      <c r="H26" s="4">
        <v>30112320</v>
      </c>
      <c r="I26" s="5">
        <f>pmsurya[[#This Row],[applications]]-pmsurya[[#This Row],[installations]]</f>
        <v>1088</v>
      </c>
      <c r="J26" s="6">
        <f>(pmsurya[[#This Row],[installations]]/pmsurya[[#This Row],[applications]])</f>
        <v>0.2879581151832461</v>
      </c>
    </row>
    <row r="27" spans="1:10" x14ac:dyDescent="0.3">
      <c r="A27" s="3" t="s">
        <v>88</v>
      </c>
      <c r="B27" t="str">
        <f>VLOOKUP(pmsurya[[#This Row],[state]],State!$A$2:$B$37,2,0)</f>
        <v xml:space="preserve"> Bihar</v>
      </c>
      <c r="C27" t="s">
        <v>94</v>
      </c>
      <c r="D27" s="5">
        <v>2822</v>
      </c>
      <c r="E27" s="5">
        <v>1026</v>
      </c>
      <c r="F27" s="5">
        <v>1026</v>
      </c>
      <c r="G27" s="5">
        <v>3662</v>
      </c>
      <c r="H27" s="4">
        <v>70682460</v>
      </c>
      <c r="I27" s="5">
        <f>pmsurya[[#This Row],[applications]]-pmsurya[[#This Row],[installations]]</f>
        <v>1796</v>
      </c>
      <c r="J27" s="6">
        <f>(pmsurya[[#This Row],[installations]]/pmsurya[[#This Row],[applications]])</f>
        <v>0.36357193479801558</v>
      </c>
    </row>
    <row r="28" spans="1:10" x14ac:dyDescent="0.3">
      <c r="A28" s="3" t="s">
        <v>88</v>
      </c>
      <c r="B28" t="str">
        <f>VLOOKUP(pmsurya[[#This Row],[state]],State!$A$2:$B$37,2,0)</f>
        <v xml:space="preserve"> Bihar</v>
      </c>
      <c r="C28" t="s">
        <v>95</v>
      </c>
      <c r="D28" s="5">
        <v>1592</v>
      </c>
      <c r="E28" s="5">
        <v>367</v>
      </c>
      <c r="F28" s="5">
        <v>367</v>
      </c>
      <c r="G28" s="5">
        <v>1256</v>
      </c>
      <c r="H28" s="4">
        <v>23116950</v>
      </c>
      <c r="I28" s="5">
        <f>pmsurya[[#This Row],[applications]]-pmsurya[[#This Row],[installations]]</f>
        <v>1225</v>
      </c>
      <c r="J28" s="6">
        <f>(pmsurya[[#This Row],[installations]]/pmsurya[[#This Row],[applications]])</f>
        <v>0.23052763819095479</v>
      </c>
    </row>
    <row r="29" spans="1:10" x14ac:dyDescent="0.3">
      <c r="A29" s="3" t="s">
        <v>88</v>
      </c>
      <c r="B29" t="str">
        <f>VLOOKUP(pmsurya[[#This Row],[state]],State!$A$2:$B$37,2,0)</f>
        <v xml:space="preserve"> Bihar</v>
      </c>
      <c r="C29" t="s">
        <v>96</v>
      </c>
      <c r="D29" s="5">
        <v>912</v>
      </c>
      <c r="E29" s="5">
        <v>130</v>
      </c>
      <c r="F29" s="5">
        <v>130</v>
      </c>
      <c r="G29" s="5">
        <v>469</v>
      </c>
      <c r="H29" s="4">
        <v>8175240</v>
      </c>
      <c r="I29" s="5">
        <f>pmsurya[[#This Row],[applications]]-pmsurya[[#This Row],[installations]]</f>
        <v>782</v>
      </c>
      <c r="J29" s="6">
        <f>(pmsurya[[#This Row],[installations]]/pmsurya[[#This Row],[applications]])</f>
        <v>0.14254385964912281</v>
      </c>
    </row>
    <row r="30" spans="1:10" x14ac:dyDescent="0.3">
      <c r="A30" s="3" t="s">
        <v>88</v>
      </c>
      <c r="B30" t="str">
        <f>VLOOKUP(pmsurya[[#This Row],[state]],State!$A$2:$B$37,2,0)</f>
        <v xml:space="preserve"> Bihar</v>
      </c>
      <c r="C30" t="s">
        <v>97</v>
      </c>
      <c r="D30" s="5">
        <v>2208</v>
      </c>
      <c r="E30" s="5">
        <v>431</v>
      </c>
      <c r="F30" s="5">
        <v>431</v>
      </c>
      <c r="G30" s="5">
        <v>1527</v>
      </c>
      <c r="H30" s="4">
        <v>28398780</v>
      </c>
      <c r="I30" s="5">
        <f>pmsurya[[#This Row],[applications]]-pmsurya[[#This Row],[installations]]</f>
        <v>1777</v>
      </c>
      <c r="J30" s="6">
        <f>(pmsurya[[#This Row],[installations]]/pmsurya[[#This Row],[applications]])</f>
        <v>0.19519927536231885</v>
      </c>
    </row>
    <row r="31" spans="1:10" x14ac:dyDescent="0.3">
      <c r="A31" s="3" t="s">
        <v>88</v>
      </c>
      <c r="B31" t="str">
        <f>VLOOKUP(pmsurya[[#This Row],[state]],State!$A$2:$B$37,2,0)</f>
        <v xml:space="preserve"> Bihar</v>
      </c>
      <c r="C31" t="s">
        <v>98</v>
      </c>
      <c r="D31" s="5">
        <v>2526</v>
      </c>
      <c r="E31" s="5">
        <v>862</v>
      </c>
      <c r="F31" s="5">
        <v>862</v>
      </c>
      <c r="G31" s="5">
        <v>3107</v>
      </c>
      <c r="H31" s="4">
        <v>59010630</v>
      </c>
      <c r="I31" s="5">
        <f>pmsurya[[#This Row],[applications]]-pmsurya[[#This Row],[installations]]</f>
        <v>1664</v>
      </c>
      <c r="J31" s="6">
        <f>(pmsurya[[#This Row],[installations]]/pmsurya[[#This Row],[applications]])</f>
        <v>0.3412509897070467</v>
      </c>
    </row>
    <row r="32" spans="1:10" x14ac:dyDescent="0.3">
      <c r="A32" s="3" t="s">
        <v>88</v>
      </c>
      <c r="B32" t="str">
        <f>VLOOKUP(pmsurya[[#This Row],[state]],State!$A$2:$B$37,2,0)</f>
        <v xml:space="preserve"> Bihar</v>
      </c>
      <c r="C32" t="s">
        <v>99</v>
      </c>
      <c r="D32" s="5">
        <v>847</v>
      </c>
      <c r="E32" s="5">
        <v>123</v>
      </c>
      <c r="F32" s="5">
        <v>123</v>
      </c>
      <c r="G32" s="5">
        <v>471</v>
      </c>
      <c r="H32" s="4">
        <v>7973160</v>
      </c>
      <c r="I32" s="5">
        <f>pmsurya[[#This Row],[applications]]-pmsurya[[#This Row],[installations]]</f>
        <v>724</v>
      </c>
      <c r="J32" s="6">
        <f>(pmsurya[[#This Row],[installations]]/pmsurya[[#This Row],[applications]])</f>
        <v>0.14521841794569068</v>
      </c>
    </row>
    <row r="33" spans="1:10" x14ac:dyDescent="0.3">
      <c r="A33" s="3" t="s">
        <v>88</v>
      </c>
      <c r="B33" t="str">
        <f>VLOOKUP(pmsurya[[#This Row],[state]],State!$A$2:$B$37,2,0)</f>
        <v xml:space="preserve"> Bihar</v>
      </c>
      <c r="C33" t="s">
        <v>100</v>
      </c>
      <c r="D33" s="5">
        <v>686</v>
      </c>
      <c r="E33" s="5">
        <v>107</v>
      </c>
      <c r="F33" s="5">
        <v>107</v>
      </c>
      <c r="G33" s="5">
        <v>383</v>
      </c>
      <c r="H33" s="4">
        <v>6637380</v>
      </c>
      <c r="I33" s="5">
        <f>pmsurya[[#This Row],[applications]]-pmsurya[[#This Row],[installations]]</f>
        <v>579</v>
      </c>
      <c r="J33" s="6">
        <f>(pmsurya[[#This Row],[installations]]/pmsurya[[#This Row],[applications]])</f>
        <v>0.15597667638483964</v>
      </c>
    </row>
    <row r="34" spans="1:10" x14ac:dyDescent="0.3">
      <c r="A34" s="3" t="s">
        <v>88</v>
      </c>
      <c r="B34" t="str">
        <f>VLOOKUP(pmsurya[[#This Row],[state]],State!$A$2:$B$37,2,0)</f>
        <v xml:space="preserve"> Bihar</v>
      </c>
      <c r="C34" t="s">
        <v>101</v>
      </c>
      <c r="D34" s="5">
        <v>472</v>
      </c>
      <c r="E34" s="5">
        <v>129</v>
      </c>
      <c r="F34" s="5">
        <v>129</v>
      </c>
      <c r="G34" s="5">
        <v>446</v>
      </c>
      <c r="H34" s="4">
        <v>8356770</v>
      </c>
      <c r="I34" s="5">
        <f>pmsurya[[#This Row],[applications]]-pmsurya[[#This Row],[installations]]</f>
        <v>343</v>
      </c>
      <c r="J34" s="6">
        <f>(pmsurya[[#This Row],[installations]]/pmsurya[[#This Row],[applications]])</f>
        <v>0.27330508474576271</v>
      </c>
    </row>
    <row r="35" spans="1:10" x14ac:dyDescent="0.3">
      <c r="A35" s="3" t="s">
        <v>88</v>
      </c>
      <c r="B35" t="str">
        <f>VLOOKUP(pmsurya[[#This Row],[state]],State!$A$2:$B$37,2,0)</f>
        <v xml:space="preserve"> Bihar</v>
      </c>
      <c r="C35" t="s">
        <v>102</v>
      </c>
      <c r="D35" s="5">
        <v>747</v>
      </c>
      <c r="E35" s="5">
        <v>144</v>
      </c>
      <c r="F35" s="5">
        <v>144</v>
      </c>
      <c r="G35" s="5">
        <v>495</v>
      </c>
      <c r="H35" s="4">
        <v>9199050</v>
      </c>
      <c r="I35" s="5">
        <f>pmsurya[[#This Row],[applications]]-pmsurya[[#This Row],[installations]]</f>
        <v>603</v>
      </c>
      <c r="J35" s="6">
        <f>(pmsurya[[#This Row],[installations]]/pmsurya[[#This Row],[applications]])</f>
        <v>0.19277108433734941</v>
      </c>
    </row>
    <row r="36" spans="1:10" x14ac:dyDescent="0.3">
      <c r="A36" s="3" t="s">
        <v>88</v>
      </c>
      <c r="B36" t="str">
        <f>VLOOKUP(pmsurya[[#This Row],[state]],State!$A$2:$B$37,2,0)</f>
        <v xml:space="preserve"> Bihar</v>
      </c>
      <c r="C36" t="s">
        <v>103</v>
      </c>
      <c r="D36" s="5">
        <v>879</v>
      </c>
      <c r="E36" s="5">
        <v>87</v>
      </c>
      <c r="F36" s="5">
        <v>87</v>
      </c>
      <c r="G36" s="5">
        <v>286</v>
      </c>
      <c r="H36" s="4">
        <v>5591760</v>
      </c>
      <c r="I36" s="5">
        <f>pmsurya[[#This Row],[applications]]-pmsurya[[#This Row],[installations]]</f>
        <v>792</v>
      </c>
      <c r="J36" s="6">
        <f>(pmsurya[[#This Row],[installations]]/pmsurya[[#This Row],[applications]])</f>
        <v>9.8976109215017066E-2</v>
      </c>
    </row>
    <row r="37" spans="1:10" x14ac:dyDescent="0.3">
      <c r="A37" s="3" t="s">
        <v>88</v>
      </c>
      <c r="B37" t="str">
        <f>VLOOKUP(pmsurya[[#This Row],[state]],State!$A$2:$B$37,2,0)</f>
        <v xml:space="preserve"> Bihar</v>
      </c>
      <c r="C37" t="s">
        <v>104</v>
      </c>
      <c r="D37" s="5">
        <v>1613</v>
      </c>
      <c r="E37" s="5">
        <v>172</v>
      </c>
      <c r="F37" s="5">
        <v>172</v>
      </c>
      <c r="G37" s="5">
        <v>602</v>
      </c>
      <c r="H37" s="4">
        <v>9420090</v>
      </c>
      <c r="I37" s="5">
        <f>pmsurya[[#This Row],[applications]]-pmsurya[[#This Row],[installations]]</f>
        <v>1441</v>
      </c>
      <c r="J37" s="6">
        <f>(pmsurya[[#This Row],[installations]]/pmsurya[[#This Row],[applications]])</f>
        <v>0.10663360198388097</v>
      </c>
    </row>
    <row r="38" spans="1:10" x14ac:dyDescent="0.3">
      <c r="A38" s="3" t="s">
        <v>88</v>
      </c>
      <c r="B38" t="str">
        <f>VLOOKUP(pmsurya[[#This Row],[state]],State!$A$2:$B$37,2,0)</f>
        <v xml:space="preserve"> Bihar</v>
      </c>
      <c r="C38" t="s">
        <v>105</v>
      </c>
      <c r="D38" s="5">
        <v>444</v>
      </c>
      <c r="E38" s="5">
        <v>60</v>
      </c>
      <c r="F38" s="5">
        <v>60</v>
      </c>
      <c r="G38" s="5">
        <v>212</v>
      </c>
      <c r="H38" s="4">
        <v>4041600</v>
      </c>
      <c r="I38" s="5">
        <f>pmsurya[[#This Row],[applications]]-pmsurya[[#This Row],[installations]]</f>
        <v>384</v>
      </c>
      <c r="J38" s="6">
        <f>(pmsurya[[#This Row],[installations]]/pmsurya[[#This Row],[applications]])</f>
        <v>0.13513513513513514</v>
      </c>
    </row>
    <row r="39" spans="1:10" x14ac:dyDescent="0.3">
      <c r="A39" s="3" t="s">
        <v>88</v>
      </c>
      <c r="B39" t="str">
        <f>VLOOKUP(pmsurya[[#This Row],[state]],State!$A$2:$B$37,2,0)</f>
        <v xml:space="preserve"> Bihar</v>
      </c>
      <c r="C39" t="s">
        <v>106</v>
      </c>
      <c r="D39" s="5">
        <v>475</v>
      </c>
      <c r="E39" s="5">
        <v>73</v>
      </c>
      <c r="F39" s="5">
        <v>73</v>
      </c>
      <c r="G39" s="5">
        <v>259</v>
      </c>
      <c r="H39" s="4">
        <v>5375880</v>
      </c>
      <c r="I39" s="5">
        <f>pmsurya[[#This Row],[applications]]-pmsurya[[#This Row],[installations]]</f>
        <v>402</v>
      </c>
      <c r="J39" s="6">
        <f>(pmsurya[[#This Row],[installations]]/pmsurya[[#This Row],[applications]])</f>
        <v>0.15368421052631578</v>
      </c>
    </row>
    <row r="40" spans="1:10" x14ac:dyDescent="0.3">
      <c r="A40" s="3" t="s">
        <v>88</v>
      </c>
      <c r="B40" t="str">
        <f>VLOOKUP(pmsurya[[#This Row],[state]],State!$A$2:$B$37,2,0)</f>
        <v xml:space="preserve"> Bihar</v>
      </c>
      <c r="C40" t="s">
        <v>107</v>
      </c>
      <c r="D40" s="5">
        <v>947</v>
      </c>
      <c r="E40" s="5">
        <v>106</v>
      </c>
      <c r="F40" s="5">
        <v>106</v>
      </c>
      <c r="G40" s="5">
        <v>349</v>
      </c>
      <c r="H40" s="4">
        <v>6539040</v>
      </c>
      <c r="I40" s="5">
        <f>pmsurya[[#This Row],[applications]]-pmsurya[[#This Row],[installations]]</f>
        <v>841</v>
      </c>
      <c r="J40" s="6">
        <f>(pmsurya[[#This Row],[installations]]/pmsurya[[#This Row],[applications]])</f>
        <v>0.1119324181626188</v>
      </c>
    </row>
    <row r="41" spans="1:10" x14ac:dyDescent="0.3">
      <c r="A41" s="3" t="s">
        <v>88</v>
      </c>
      <c r="B41" t="str">
        <f>VLOOKUP(pmsurya[[#This Row],[state]],State!$A$2:$B$37,2,0)</f>
        <v xml:space="preserve"> Bihar</v>
      </c>
      <c r="C41" t="s">
        <v>108</v>
      </c>
      <c r="D41" s="5">
        <v>1537</v>
      </c>
      <c r="E41" s="5">
        <v>158</v>
      </c>
      <c r="F41" s="5">
        <v>158</v>
      </c>
      <c r="G41" s="5">
        <v>529</v>
      </c>
      <c r="H41" s="4">
        <v>10177620</v>
      </c>
      <c r="I41" s="5">
        <f>pmsurya[[#This Row],[applications]]-pmsurya[[#This Row],[installations]]</f>
        <v>1379</v>
      </c>
      <c r="J41" s="6">
        <f>(pmsurya[[#This Row],[installations]]/pmsurya[[#This Row],[applications]])</f>
        <v>0.10279765777488614</v>
      </c>
    </row>
    <row r="42" spans="1:10" x14ac:dyDescent="0.3">
      <c r="A42" s="3" t="s">
        <v>88</v>
      </c>
      <c r="B42" t="str">
        <f>VLOOKUP(pmsurya[[#This Row],[state]],State!$A$2:$B$37,2,0)</f>
        <v xml:space="preserve"> Bihar</v>
      </c>
      <c r="C42" t="s">
        <v>109</v>
      </c>
      <c r="D42" s="5">
        <v>898</v>
      </c>
      <c r="E42" s="5">
        <v>292</v>
      </c>
      <c r="F42" s="5">
        <v>292</v>
      </c>
      <c r="G42" s="5">
        <v>1014</v>
      </c>
      <c r="H42" s="4">
        <v>18840000</v>
      </c>
      <c r="I42" s="5">
        <f>pmsurya[[#This Row],[applications]]-pmsurya[[#This Row],[installations]]</f>
        <v>606</v>
      </c>
      <c r="J42" s="6">
        <f>(pmsurya[[#This Row],[installations]]/pmsurya[[#This Row],[applications]])</f>
        <v>0.32516703786191536</v>
      </c>
    </row>
    <row r="43" spans="1:10" x14ac:dyDescent="0.3">
      <c r="A43" s="3" t="s">
        <v>88</v>
      </c>
      <c r="B43" t="str">
        <f>VLOOKUP(pmsurya[[#This Row],[state]],State!$A$2:$B$37,2,0)</f>
        <v xml:space="preserve"> Bihar</v>
      </c>
      <c r="C43" t="s">
        <v>110</v>
      </c>
      <c r="D43" s="5">
        <v>4641</v>
      </c>
      <c r="E43" s="5">
        <v>1364</v>
      </c>
      <c r="F43" s="5">
        <v>1364</v>
      </c>
      <c r="G43" s="5">
        <v>4882</v>
      </c>
      <c r="H43" s="4">
        <v>89113680</v>
      </c>
      <c r="I43" s="5">
        <f>pmsurya[[#This Row],[applications]]-pmsurya[[#This Row],[installations]]</f>
        <v>3277</v>
      </c>
      <c r="J43" s="6">
        <f>(pmsurya[[#This Row],[installations]]/pmsurya[[#This Row],[applications]])</f>
        <v>0.29390217625511744</v>
      </c>
    </row>
    <row r="44" spans="1:10" x14ac:dyDescent="0.3">
      <c r="A44" s="3" t="s">
        <v>88</v>
      </c>
      <c r="B44" t="str">
        <f>VLOOKUP(pmsurya[[#This Row],[state]],State!$A$2:$B$37,2,0)</f>
        <v xml:space="preserve"> Bihar</v>
      </c>
      <c r="C44" t="s">
        <v>111</v>
      </c>
      <c r="D44" s="5">
        <v>2864</v>
      </c>
      <c r="E44" s="5">
        <v>1331</v>
      </c>
      <c r="F44" s="5">
        <v>1331</v>
      </c>
      <c r="G44" s="5">
        <v>4450</v>
      </c>
      <c r="H44" s="4">
        <v>91098180</v>
      </c>
      <c r="I44" s="5">
        <f>pmsurya[[#This Row],[applications]]-pmsurya[[#This Row],[installations]]</f>
        <v>1533</v>
      </c>
      <c r="J44" s="6">
        <f>(pmsurya[[#This Row],[installations]]/pmsurya[[#This Row],[applications]])</f>
        <v>0.4647346368715084</v>
      </c>
    </row>
    <row r="45" spans="1:10" x14ac:dyDescent="0.3">
      <c r="A45" s="3" t="s">
        <v>88</v>
      </c>
      <c r="B45" t="str">
        <f>VLOOKUP(pmsurya[[#This Row],[state]],State!$A$2:$B$37,2,0)</f>
        <v xml:space="preserve"> Bihar</v>
      </c>
      <c r="C45" t="s">
        <v>112</v>
      </c>
      <c r="D45" s="5">
        <v>1363</v>
      </c>
      <c r="E45" s="5">
        <v>428</v>
      </c>
      <c r="F45" s="5">
        <v>428</v>
      </c>
      <c r="G45" s="5">
        <v>1475</v>
      </c>
      <c r="H45" s="4">
        <v>26793780</v>
      </c>
      <c r="I45" s="5">
        <f>pmsurya[[#This Row],[applications]]-pmsurya[[#This Row],[installations]]</f>
        <v>935</v>
      </c>
      <c r="J45" s="6">
        <f>(pmsurya[[#This Row],[installations]]/pmsurya[[#This Row],[applications]])</f>
        <v>0.31401320616287604</v>
      </c>
    </row>
    <row r="46" spans="1:10" x14ac:dyDescent="0.3">
      <c r="A46" s="3" t="s">
        <v>88</v>
      </c>
      <c r="B46" t="str">
        <f>VLOOKUP(pmsurya[[#This Row],[state]],State!$A$2:$B$37,2,0)</f>
        <v xml:space="preserve"> Bihar</v>
      </c>
      <c r="C46" t="s">
        <v>113</v>
      </c>
      <c r="D46" s="5">
        <v>3071</v>
      </c>
      <c r="E46" s="5">
        <v>438</v>
      </c>
      <c r="F46" s="5">
        <v>442</v>
      </c>
      <c r="G46" s="5">
        <v>1576</v>
      </c>
      <c r="H46" s="4">
        <v>27543840</v>
      </c>
      <c r="I46" s="5">
        <f>pmsurya[[#This Row],[applications]]-pmsurya[[#This Row],[installations]]</f>
        <v>2633</v>
      </c>
      <c r="J46" s="6">
        <f>(pmsurya[[#This Row],[installations]]/pmsurya[[#This Row],[applications]])</f>
        <v>0.14262455226310647</v>
      </c>
    </row>
    <row r="47" spans="1:10" x14ac:dyDescent="0.3">
      <c r="A47" s="3" t="s">
        <v>88</v>
      </c>
      <c r="B47" t="str">
        <f>VLOOKUP(pmsurya[[#This Row],[state]],State!$A$2:$B$37,2,0)</f>
        <v xml:space="preserve"> Bihar</v>
      </c>
      <c r="C47" t="s">
        <v>114</v>
      </c>
      <c r="D47" s="5">
        <v>14415</v>
      </c>
      <c r="E47" s="5">
        <v>8666</v>
      </c>
      <c r="F47" s="5">
        <v>8944</v>
      </c>
      <c r="G47" s="5">
        <v>32462</v>
      </c>
      <c r="H47" s="4">
        <v>595718970</v>
      </c>
      <c r="I47" s="5">
        <f>pmsurya[[#This Row],[applications]]-pmsurya[[#This Row],[installations]]</f>
        <v>5749</v>
      </c>
      <c r="J47" s="6">
        <f>(pmsurya[[#This Row],[installations]]/pmsurya[[#This Row],[applications]])</f>
        <v>0.60117932708983701</v>
      </c>
    </row>
    <row r="48" spans="1:10" x14ac:dyDescent="0.3">
      <c r="A48" s="3" t="s">
        <v>88</v>
      </c>
      <c r="B48" t="str">
        <f>VLOOKUP(pmsurya[[#This Row],[state]],State!$A$2:$B$37,2,0)</f>
        <v xml:space="preserve"> Bihar</v>
      </c>
      <c r="C48" t="s">
        <v>115</v>
      </c>
      <c r="D48" s="5">
        <v>2672</v>
      </c>
      <c r="E48" s="5">
        <v>504</v>
      </c>
      <c r="F48" s="5">
        <v>505</v>
      </c>
      <c r="G48" s="5">
        <v>1789</v>
      </c>
      <c r="H48" s="4">
        <v>33901800</v>
      </c>
      <c r="I48" s="5">
        <f>pmsurya[[#This Row],[applications]]-pmsurya[[#This Row],[installations]]</f>
        <v>2168</v>
      </c>
      <c r="J48" s="6">
        <f>(pmsurya[[#This Row],[installations]]/pmsurya[[#This Row],[applications]])</f>
        <v>0.18862275449101795</v>
      </c>
    </row>
    <row r="49" spans="1:10" x14ac:dyDescent="0.3">
      <c r="A49" s="3" t="s">
        <v>88</v>
      </c>
      <c r="B49" t="str">
        <f>VLOOKUP(pmsurya[[#This Row],[state]],State!$A$2:$B$37,2,0)</f>
        <v xml:space="preserve"> Bihar</v>
      </c>
      <c r="C49" t="s">
        <v>116</v>
      </c>
      <c r="D49" s="5">
        <v>1458</v>
      </c>
      <c r="E49" s="5">
        <v>236</v>
      </c>
      <c r="F49" s="5">
        <v>236</v>
      </c>
      <c r="G49" s="5">
        <v>856</v>
      </c>
      <c r="H49" s="4">
        <v>15200460</v>
      </c>
      <c r="I49" s="5">
        <f>pmsurya[[#This Row],[applications]]-pmsurya[[#This Row],[installations]]</f>
        <v>1222</v>
      </c>
      <c r="J49" s="6">
        <f>(pmsurya[[#This Row],[installations]]/pmsurya[[#This Row],[applications]])</f>
        <v>0.16186556927297668</v>
      </c>
    </row>
    <row r="50" spans="1:10" x14ac:dyDescent="0.3">
      <c r="A50" s="3" t="s">
        <v>88</v>
      </c>
      <c r="B50" t="str">
        <f>VLOOKUP(pmsurya[[#This Row],[state]],State!$A$2:$B$37,2,0)</f>
        <v xml:space="preserve"> Bihar</v>
      </c>
      <c r="C50" t="s">
        <v>117</v>
      </c>
      <c r="D50" s="5">
        <v>2134</v>
      </c>
      <c r="E50" s="5">
        <v>353</v>
      </c>
      <c r="F50" s="5">
        <v>652</v>
      </c>
      <c r="G50" s="5">
        <v>1271</v>
      </c>
      <c r="H50" s="4">
        <v>23597520</v>
      </c>
      <c r="I50" s="5">
        <f>pmsurya[[#This Row],[applications]]-pmsurya[[#This Row],[installations]]</f>
        <v>1781</v>
      </c>
      <c r="J50" s="6">
        <f>(pmsurya[[#This Row],[installations]]/pmsurya[[#This Row],[applications]])</f>
        <v>0.16541705716963448</v>
      </c>
    </row>
    <row r="51" spans="1:10" x14ac:dyDescent="0.3">
      <c r="A51" s="3" t="s">
        <v>88</v>
      </c>
      <c r="B51" t="str">
        <f>VLOOKUP(pmsurya[[#This Row],[state]],State!$A$2:$B$37,2,0)</f>
        <v xml:space="preserve"> Bihar</v>
      </c>
      <c r="C51" t="s">
        <v>118</v>
      </c>
      <c r="D51" s="5">
        <v>686</v>
      </c>
      <c r="E51" s="5">
        <v>100</v>
      </c>
      <c r="F51" s="5">
        <v>100</v>
      </c>
      <c r="G51" s="5">
        <v>367</v>
      </c>
      <c r="H51" s="4">
        <v>5993640</v>
      </c>
      <c r="I51" s="5">
        <f>pmsurya[[#This Row],[applications]]-pmsurya[[#This Row],[installations]]</f>
        <v>586</v>
      </c>
      <c r="J51" s="6">
        <f>(pmsurya[[#This Row],[installations]]/pmsurya[[#This Row],[applications]])</f>
        <v>0.1457725947521866</v>
      </c>
    </row>
    <row r="52" spans="1:10" x14ac:dyDescent="0.3">
      <c r="A52" s="3" t="s">
        <v>88</v>
      </c>
      <c r="B52" t="str">
        <f>VLOOKUP(pmsurya[[#This Row],[state]],State!$A$2:$B$37,2,0)</f>
        <v xml:space="preserve"> Bihar</v>
      </c>
      <c r="C52" t="s">
        <v>119</v>
      </c>
      <c r="D52" s="5">
        <v>2796</v>
      </c>
      <c r="E52" s="5">
        <v>695</v>
      </c>
      <c r="F52" s="5">
        <v>695</v>
      </c>
      <c r="G52" s="5">
        <v>2335</v>
      </c>
      <c r="H52" s="4">
        <v>47683500</v>
      </c>
      <c r="I52" s="5">
        <f>pmsurya[[#This Row],[applications]]-pmsurya[[#This Row],[installations]]</f>
        <v>2101</v>
      </c>
      <c r="J52" s="6">
        <f>(pmsurya[[#This Row],[installations]]/pmsurya[[#This Row],[applications]])</f>
        <v>0.24856938483547925</v>
      </c>
    </row>
    <row r="53" spans="1:10" x14ac:dyDescent="0.3">
      <c r="A53" s="3" t="s">
        <v>88</v>
      </c>
      <c r="B53" t="str">
        <f>VLOOKUP(pmsurya[[#This Row],[state]],State!$A$2:$B$37,2,0)</f>
        <v xml:space="preserve"> Bihar</v>
      </c>
      <c r="C53" t="s">
        <v>120</v>
      </c>
      <c r="D53" s="5">
        <v>2309</v>
      </c>
      <c r="E53" s="5">
        <v>403</v>
      </c>
      <c r="F53" s="5">
        <v>403</v>
      </c>
      <c r="G53" s="5">
        <v>1476</v>
      </c>
      <c r="H53" s="4">
        <v>25466100</v>
      </c>
      <c r="I53" s="5">
        <f>pmsurya[[#This Row],[applications]]-pmsurya[[#This Row],[installations]]</f>
        <v>1906</v>
      </c>
      <c r="J53" s="6">
        <f>(pmsurya[[#This Row],[installations]]/pmsurya[[#This Row],[applications]])</f>
        <v>0.17453443048938935</v>
      </c>
    </row>
    <row r="54" spans="1:10" x14ac:dyDescent="0.3">
      <c r="A54" s="3" t="s">
        <v>88</v>
      </c>
      <c r="B54" t="str">
        <f>VLOOKUP(pmsurya[[#This Row],[state]],State!$A$2:$B$37,2,0)</f>
        <v xml:space="preserve"> Bihar</v>
      </c>
      <c r="C54" t="s">
        <v>121</v>
      </c>
      <c r="D54" s="5">
        <v>314</v>
      </c>
      <c r="E54" s="5">
        <v>70</v>
      </c>
      <c r="F54" s="5">
        <v>70</v>
      </c>
      <c r="G54" s="5">
        <v>229</v>
      </c>
      <c r="H54" s="4">
        <v>4571760</v>
      </c>
      <c r="I54" s="5">
        <f>pmsurya[[#This Row],[applications]]-pmsurya[[#This Row],[installations]]</f>
        <v>244</v>
      </c>
      <c r="J54" s="6">
        <f>(pmsurya[[#This Row],[installations]]/pmsurya[[#This Row],[applications]])</f>
        <v>0.22292993630573249</v>
      </c>
    </row>
    <row r="55" spans="1:10" x14ac:dyDescent="0.3">
      <c r="A55" s="3" t="s">
        <v>88</v>
      </c>
      <c r="B55" t="str">
        <f>VLOOKUP(pmsurya[[#This Row],[state]],State!$A$2:$B$37,2,0)</f>
        <v xml:space="preserve"> Bihar</v>
      </c>
      <c r="C55" t="s">
        <v>122</v>
      </c>
      <c r="D55" s="5">
        <v>605</v>
      </c>
      <c r="E55" s="5">
        <v>34</v>
      </c>
      <c r="F55" s="5">
        <v>34</v>
      </c>
      <c r="G55" s="5">
        <v>120</v>
      </c>
      <c r="H55" s="4">
        <v>2247600</v>
      </c>
      <c r="I55" s="5">
        <f>pmsurya[[#This Row],[applications]]-pmsurya[[#This Row],[installations]]</f>
        <v>571</v>
      </c>
      <c r="J55" s="6">
        <f>(pmsurya[[#This Row],[installations]]/pmsurya[[#This Row],[applications]])</f>
        <v>5.6198347107438019E-2</v>
      </c>
    </row>
    <row r="56" spans="1:10" x14ac:dyDescent="0.3">
      <c r="A56" s="3" t="s">
        <v>88</v>
      </c>
      <c r="B56" t="str">
        <f>VLOOKUP(pmsurya[[#This Row],[state]],State!$A$2:$B$37,2,0)</f>
        <v xml:space="preserve"> Bihar</v>
      </c>
      <c r="C56" t="s">
        <v>123</v>
      </c>
      <c r="D56" s="5">
        <v>2251</v>
      </c>
      <c r="E56" s="5">
        <v>558</v>
      </c>
      <c r="F56" s="5">
        <v>609</v>
      </c>
      <c r="G56" s="5">
        <v>1954</v>
      </c>
      <c r="H56" s="4">
        <v>39142200</v>
      </c>
      <c r="I56" s="5">
        <f>pmsurya[[#This Row],[applications]]-pmsurya[[#This Row],[installations]]</f>
        <v>1693</v>
      </c>
      <c r="J56" s="6">
        <f>(pmsurya[[#This Row],[installations]]/pmsurya[[#This Row],[applications]])</f>
        <v>0.24788982674366947</v>
      </c>
    </row>
    <row r="57" spans="1:10" x14ac:dyDescent="0.3">
      <c r="A57" s="3" t="s">
        <v>88</v>
      </c>
      <c r="B57" t="str">
        <f>VLOOKUP(pmsurya[[#This Row],[state]],State!$A$2:$B$37,2,0)</f>
        <v xml:space="preserve"> Bihar</v>
      </c>
      <c r="C57" t="s">
        <v>124</v>
      </c>
      <c r="D57" s="5">
        <v>1171</v>
      </c>
      <c r="E57" s="5">
        <v>149</v>
      </c>
      <c r="F57" s="5">
        <v>149</v>
      </c>
      <c r="G57" s="5">
        <v>524</v>
      </c>
      <c r="H57" s="4">
        <v>8978790</v>
      </c>
      <c r="I57" s="5">
        <f>pmsurya[[#This Row],[applications]]-pmsurya[[#This Row],[installations]]</f>
        <v>1022</v>
      </c>
      <c r="J57" s="6">
        <f>(pmsurya[[#This Row],[installations]]/pmsurya[[#This Row],[applications]])</f>
        <v>0.12724167378309137</v>
      </c>
    </row>
    <row r="58" spans="1:10" x14ac:dyDescent="0.3">
      <c r="A58" s="3" t="s">
        <v>88</v>
      </c>
      <c r="B58" t="str">
        <f>VLOOKUP(pmsurya[[#This Row],[state]],State!$A$2:$B$37,2,0)</f>
        <v xml:space="preserve"> Bihar</v>
      </c>
      <c r="C58" t="s">
        <v>125</v>
      </c>
      <c r="D58" s="5">
        <v>6185</v>
      </c>
      <c r="E58" s="5">
        <v>171</v>
      </c>
      <c r="F58" s="5">
        <v>171</v>
      </c>
      <c r="G58" s="5">
        <v>585</v>
      </c>
      <c r="H58" s="4">
        <v>10918740</v>
      </c>
      <c r="I58" s="5">
        <f>pmsurya[[#This Row],[applications]]-pmsurya[[#This Row],[installations]]</f>
        <v>6014</v>
      </c>
      <c r="J58" s="6">
        <f>(pmsurya[[#This Row],[installations]]/pmsurya[[#This Row],[applications]])</f>
        <v>2.7647534357316088E-2</v>
      </c>
    </row>
    <row r="59" spans="1:10" x14ac:dyDescent="0.3">
      <c r="A59" s="3" t="s">
        <v>88</v>
      </c>
      <c r="B59" t="str">
        <f>VLOOKUP(pmsurya[[#This Row],[state]],State!$A$2:$B$37,2,0)</f>
        <v xml:space="preserve"> Bihar</v>
      </c>
      <c r="C59" t="s">
        <v>126</v>
      </c>
      <c r="D59" s="5">
        <v>3057</v>
      </c>
      <c r="E59" s="5">
        <v>710</v>
      </c>
      <c r="F59" s="5">
        <v>710</v>
      </c>
      <c r="G59" s="5">
        <v>2402</v>
      </c>
      <c r="H59" s="4">
        <v>47363130</v>
      </c>
      <c r="I59" s="5">
        <f>pmsurya[[#This Row],[applications]]-pmsurya[[#This Row],[installations]]</f>
        <v>2347</v>
      </c>
      <c r="J59" s="6">
        <f>(pmsurya[[#This Row],[installations]]/pmsurya[[#This Row],[applications]])</f>
        <v>0.23225384363755316</v>
      </c>
    </row>
    <row r="60" spans="1:10" x14ac:dyDescent="0.3">
      <c r="A60" s="3" t="s">
        <v>559</v>
      </c>
      <c r="B60" t="str">
        <f>VLOOKUP(pmsurya[[#This Row],[state]],State!$A$2:$B$37,2,0)</f>
        <v xml:space="preserve"> Sikkim</v>
      </c>
      <c r="C60" t="s">
        <v>560</v>
      </c>
      <c r="D60" s="5">
        <v>80</v>
      </c>
      <c r="E60" s="5">
        <v>19</v>
      </c>
      <c r="F60" s="5">
        <v>19</v>
      </c>
      <c r="G60" s="5">
        <v>65</v>
      </c>
      <c r="H60" s="4">
        <v>1066230</v>
      </c>
      <c r="I60" s="5">
        <f>pmsurya[[#This Row],[applications]]-pmsurya[[#This Row],[installations]]</f>
        <v>61</v>
      </c>
      <c r="J60" s="6">
        <f>(pmsurya[[#This Row],[installations]]/pmsurya[[#This Row],[applications]])</f>
        <v>0.23749999999999999</v>
      </c>
    </row>
    <row r="61" spans="1:10" x14ac:dyDescent="0.3">
      <c r="A61" s="3" t="s">
        <v>559</v>
      </c>
      <c r="B61" t="str">
        <f>VLOOKUP(pmsurya[[#This Row],[state]],State!$A$2:$B$37,2,0)</f>
        <v xml:space="preserve"> Sikkim</v>
      </c>
      <c r="C61" t="s">
        <v>561</v>
      </c>
      <c r="D61" s="5">
        <v>89</v>
      </c>
      <c r="E61" s="5">
        <v>13</v>
      </c>
      <c r="F61" s="5">
        <v>13</v>
      </c>
      <c r="G61" s="5">
        <v>34</v>
      </c>
      <c r="H61" s="4">
        <v>156156</v>
      </c>
      <c r="I61" s="5">
        <f>pmsurya[[#This Row],[applications]]-pmsurya[[#This Row],[installations]]</f>
        <v>76</v>
      </c>
      <c r="J61" s="6">
        <f>(pmsurya[[#This Row],[installations]]/pmsurya[[#This Row],[applications]])</f>
        <v>0.14606741573033707</v>
      </c>
    </row>
    <row r="62" spans="1:10" x14ac:dyDescent="0.3">
      <c r="A62" s="3" t="s">
        <v>559</v>
      </c>
      <c r="B62" t="str">
        <f>VLOOKUP(pmsurya[[#This Row],[state]],State!$A$2:$B$37,2,0)</f>
        <v xml:space="preserve"> Sikkim</v>
      </c>
      <c r="C62" t="s">
        <v>562</v>
      </c>
      <c r="D62" s="5">
        <v>7</v>
      </c>
      <c r="E62" s="5">
        <v>2</v>
      </c>
      <c r="F62" s="5">
        <v>2</v>
      </c>
      <c r="G62" s="5">
        <v>2</v>
      </c>
      <c r="H62" s="4">
        <v>73260</v>
      </c>
      <c r="I62" s="5">
        <f>pmsurya[[#This Row],[applications]]-pmsurya[[#This Row],[installations]]</f>
        <v>5</v>
      </c>
      <c r="J62" s="6">
        <f>(pmsurya[[#This Row],[installations]]/pmsurya[[#This Row],[applications]])</f>
        <v>0.2857142857142857</v>
      </c>
    </row>
    <row r="63" spans="1:10" x14ac:dyDescent="0.3">
      <c r="A63" s="3" t="s">
        <v>559</v>
      </c>
      <c r="B63" t="str">
        <f>VLOOKUP(pmsurya[[#This Row],[state]],State!$A$2:$B$37,2,0)</f>
        <v xml:space="preserve"> Sikkim</v>
      </c>
      <c r="C63" t="s">
        <v>563</v>
      </c>
      <c r="D63" s="5">
        <v>43</v>
      </c>
      <c r="E63" s="5">
        <v>10</v>
      </c>
      <c r="F63" s="5">
        <v>10</v>
      </c>
      <c r="G63" s="5">
        <v>36</v>
      </c>
      <c r="H63" s="4">
        <v>772200</v>
      </c>
      <c r="I63" s="5">
        <f>pmsurya[[#This Row],[applications]]-pmsurya[[#This Row],[installations]]</f>
        <v>33</v>
      </c>
      <c r="J63" s="6">
        <f>(pmsurya[[#This Row],[installations]]/pmsurya[[#This Row],[applications]])</f>
        <v>0.23255813953488372</v>
      </c>
    </row>
    <row r="64" spans="1:10" x14ac:dyDescent="0.3">
      <c r="A64" s="3" t="s">
        <v>559</v>
      </c>
      <c r="B64" t="str">
        <f>VLOOKUP(pmsurya[[#This Row],[state]],State!$A$2:$B$37,2,0)</f>
        <v xml:space="preserve"> Sikkim</v>
      </c>
      <c r="C64" t="s">
        <v>564</v>
      </c>
      <c r="D64" s="5">
        <v>39</v>
      </c>
      <c r="E64" s="5">
        <v>4</v>
      </c>
      <c r="F64" s="5">
        <v>4</v>
      </c>
      <c r="G64" s="5">
        <v>12</v>
      </c>
      <c r="H64" s="4">
        <v>312312</v>
      </c>
      <c r="I64" s="5">
        <f>pmsurya[[#This Row],[applications]]-pmsurya[[#This Row],[installations]]</f>
        <v>35</v>
      </c>
      <c r="J64" s="6">
        <f>(pmsurya[[#This Row],[installations]]/pmsurya[[#This Row],[applications]])</f>
        <v>0.10256410256410256</v>
      </c>
    </row>
    <row r="65" spans="1:10" x14ac:dyDescent="0.3">
      <c r="A65" s="3" t="s">
        <v>559</v>
      </c>
      <c r="B65" t="str">
        <f>VLOOKUP(pmsurya[[#This Row],[state]],State!$A$2:$B$37,2,0)</f>
        <v xml:space="preserve"> Sikkim</v>
      </c>
      <c r="C65" t="s">
        <v>565</v>
      </c>
      <c r="D65" s="5">
        <v>33</v>
      </c>
      <c r="E65" s="5">
        <v>2</v>
      </c>
      <c r="F65" s="5">
        <v>2</v>
      </c>
      <c r="G65" s="5">
        <v>11</v>
      </c>
      <c r="H65" s="4">
        <v>85800</v>
      </c>
      <c r="I65" s="5">
        <f>pmsurya[[#This Row],[applications]]-pmsurya[[#This Row],[installations]]</f>
        <v>31</v>
      </c>
      <c r="J65" s="6">
        <f>(pmsurya[[#This Row],[installations]]/pmsurya[[#This Row],[applications]])</f>
        <v>6.0606060606060608E-2</v>
      </c>
    </row>
    <row r="66" spans="1:10" x14ac:dyDescent="0.3">
      <c r="A66" s="3" t="s">
        <v>35</v>
      </c>
      <c r="B66" t="str">
        <f>VLOOKUP(pmsurya[[#This Row],[state]],State!$A$2:$B$37,2,0)</f>
        <v xml:space="preserve"> Arunachal Pradesh</v>
      </c>
      <c r="C66" t="s">
        <v>36</v>
      </c>
      <c r="D66" s="5">
        <v>6</v>
      </c>
      <c r="E66" s="5">
        <v>0</v>
      </c>
      <c r="F66" s="5">
        <v>0</v>
      </c>
      <c r="G66" s="5">
        <v>0</v>
      </c>
      <c r="H66" s="4">
        <v>0</v>
      </c>
      <c r="I66" s="5">
        <f>pmsurya[[#This Row],[applications]]-pmsurya[[#This Row],[installations]]</f>
        <v>6</v>
      </c>
      <c r="J66" s="6">
        <f>(pmsurya[[#This Row],[installations]]/pmsurya[[#This Row],[applications]])</f>
        <v>0</v>
      </c>
    </row>
    <row r="67" spans="1:10" x14ac:dyDescent="0.3">
      <c r="A67" s="3" t="s">
        <v>35</v>
      </c>
      <c r="B67" t="str">
        <f>VLOOKUP(pmsurya[[#This Row],[state]],State!$A$2:$B$37,2,0)</f>
        <v xml:space="preserve"> Arunachal Pradesh</v>
      </c>
      <c r="C67" t="s">
        <v>37</v>
      </c>
      <c r="D67" s="5">
        <v>1</v>
      </c>
      <c r="E67" s="5">
        <v>0</v>
      </c>
      <c r="F67" s="5">
        <v>0</v>
      </c>
      <c r="G67" s="5">
        <v>0</v>
      </c>
      <c r="H67" s="4">
        <v>0</v>
      </c>
      <c r="I67" s="5">
        <f>pmsurya[[#This Row],[applications]]-pmsurya[[#This Row],[installations]]</f>
        <v>1</v>
      </c>
      <c r="J67" s="6">
        <f>(pmsurya[[#This Row],[installations]]/pmsurya[[#This Row],[applications]])</f>
        <v>0</v>
      </c>
    </row>
    <row r="68" spans="1:10" x14ac:dyDescent="0.3">
      <c r="A68" s="3" t="s">
        <v>35</v>
      </c>
      <c r="B68" t="str">
        <f>VLOOKUP(pmsurya[[#This Row],[state]],State!$A$2:$B$37,2,0)</f>
        <v xml:space="preserve"> Arunachal Pradesh</v>
      </c>
      <c r="C68" t="s">
        <v>38</v>
      </c>
      <c r="D68" s="5">
        <v>2</v>
      </c>
      <c r="E68" s="5">
        <v>0</v>
      </c>
      <c r="F68" s="5">
        <v>0</v>
      </c>
      <c r="G68" s="5">
        <v>0</v>
      </c>
      <c r="H68" s="4">
        <v>0</v>
      </c>
      <c r="I68" s="5">
        <f>pmsurya[[#This Row],[applications]]-pmsurya[[#This Row],[installations]]</f>
        <v>2</v>
      </c>
      <c r="J68" s="6">
        <f>(pmsurya[[#This Row],[installations]]/pmsurya[[#This Row],[applications]])</f>
        <v>0</v>
      </c>
    </row>
    <row r="69" spans="1:10" x14ac:dyDescent="0.3">
      <c r="A69" s="3" t="s">
        <v>35</v>
      </c>
      <c r="B69" t="str">
        <f>VLOOKUP(pmsurya[[#This Row],[state]],State!$A$2:$B$37,2,0)</f>
        <v xml:space="preserve"> Arunachal Pradesh</v>
      </c>
      <c r="C69" t="s">
        <v>39</v>
      </c>
      <c r="D69" s="5">
        <v>5</v>
      </c>
      <c r="E69" s="5">
        <v>0</v>
      </c>
      <c r="F69" s="5">
        <v>0</v>
      </c>
      <c r="G69" s="5">
        <v>0</v>
      </c>
      <c r="H69" s="4">
        <v>0</v>
      </c>
      <c r="I69" s="5">
        <f>pmsurya[[#This Row],[applications]]-pmsurya[[#This Row],[installations]]</f>
        <v>5</v>
      </c>
      <c r="J69" s="6">
        <f>(pmsurya[[#This Row],[installations]]/pmsurya[[#This Row],[applications]])</f>
        <v>0</v>
      </c>
    </row>
    <row r="70" spans="1:10" x14ac:dyDescent="0.3">
      <c r="A70" s="3" t="s">
        <v>35</v>
      </c>
      <c r="B70" t="str">
        <f>VLOOKUP(pmsurya[[#This Row],[state]],State!$A$2:$B$37,2,0)</f>
        <v xml:space="preserve"> Arunachal Pradesh</v>
      </c>
      <c r="C70" t="s">
        <v>40</v>
      </c>
      <c r="D70" s="5">
        <v>1</v>
      </c>
      <c r="E70" s="5">
        <v>0</v>
      </c>
      <c r="F70" s="5">
        <v>0</v>
      </c>
      <c r="G70" s="5">
        <v>0</v>
      </c>
      <c r="H70" s="4">
        <v>0</v>
      </c>
      <c r="I70" s="5">
        <f>pmsurya[[#This Row],[applications]]-pmsurya[[#This Row],[installations]]</f>
        <v>1</v>
      </c>
      <c r="J70" s="6">
        <f>(pmsurya[[#This Row],[installations]]/pmsurya[[#This Row],[applications]])</f>
        <v>0</v>
      </c>
    </row>
    <row r="71" spans="1:10" x14ac:dyDescent="0.3">
      <c r="A71" s="3" t="s">
        <v>35</v>
      </c>
      <c r="B71" t="str">
        <f>VLOOKUP(pmsurya[[#This Row],[state]],State!$A$2:$B$37,2,0)</f>
        <v xml:space="preserve"> Arunachal Pradesh</v>
      </c>
      <c r="C71" t="s">
        <v>41</v>
      </c>
      <c r="D71" s="5">
        <v>1</v>
      </c>
      <c r="E71" s="5">
        <v>0</v>
      </c>
      <c r="F71" s="5">
        <v>0</v>
      </c>
      <c r="G71" s="5">
        <v>0</v>
      </c>
      <c r="H71" s="4">
        <v>0</v>
      </c>
      <c r="I71" s="5">
        <f>pmsurya[[#This Row],[applications]]-pmsurya[[#This Row],[installations]]</f>
        <v>1</v>
      </c>
      <c r="J71" s="6">
        <f>(pmsurya[[#This Row],[installations]]/pmsurya[[#This Row],[applications]])</f>
        <v>0</v>
      </c>
    </row>
    <row r="72" spans="1:10" x14ac:dyDescent="0.3">
      <c r="A72" s="3" t="s">
        <v>35</v>
      </c>
      <c r="B72" t="str">
        <f>VLOOKUP(pmsurya[[#This Row],[state]],State!$A$2:$B$37,2,0)</f>
        <v xml:space="preserve"> Arunachal Pradesh</v>
      </c>
      <c r="C72" t="s">
        <v>42</v>
      </c>
      <c r="D72" s="5">
        <v>4</v>
      </c>
      <c r="E72" s="5">
        <v>0</v>
      </c>
      <c r="F72" s="5">
        <v>0</v>
      </c>
      <c r="G72" s="5">
        <v>0</v>
      </c>
      <c r="H72" s="4">
        <v>0</v>
      </c>
      <c r="I72" s="5">
        <f>pmsurya[[#This Row],[applications]]-pmsurya[[#This Row],[installations]]</f>
        <v>4</v>
      </c>
      <c r="J72" s="6">
        <f>(pmsurya[[#This Row],[installations]]/pmsurya[[#This Row],[applications]])</f>
        <v>0</v>
      </c>
    </row>
    <row r="73" spans="1:10" x14ac:dyDescent="0.3">
      <c r="A73" s="3" t="s">
        <v>35</v>
      </c>
      <c r="B73" t="str">
        <f>VLOOKUP(pmsurya[[#This Row],[state]],State!$A$2:$B$37,2,0)</f>
        <v xml:space="preserve"> Arunachal Pradesh</v>
      </c>
      <c r="C73" t="s">
        <v>43</v>
      </c>
      <c r="D73" s="5">
        <v>2</v>
      </c>
      <c r="E73" s="5">
        <v>1</v>
      </c>
      <c r="F73" s="5">
        <v>1</v>
      </c>
      <c r="G73" s="5">
        <v>3</v>
      </c>
      <c r="H73" s="4">
        <v>85800</v>
      </c>
      <c r="I73" s="5">
        <f>pmsurya[[#This Row],[applications]]-pmsurya[[#This Row],[installations]]</f>
        <v>1</v>
      </c>
      <c r="J73" s="6">
        <f>(pmsurya[[#This Row],[installations]]/pmsurya[[#This Row],[applications]])</f>
        <v>0.5</v>
      </c>
    </row>
    <row r="74" spans="1:10" x14ac:dyDescent="0.3">
      <c r="A74" s="3" t="s">
        <v>35</v>
      </c>
      <c r="B74" t="str">
        <f>VLOOKUP(pmsurya[[#This Row],[state]],State!$A$2:$B$37,2,0)</f>
        <v xml:space="preserve"> Arunachal Pradesh</v>
      </c>
      <c r="C74" t="s">
        <v>44</v>
      </c>
      <c r="D74" s="5">
        <v>6</v>
      </c>
      <c r="E74" s="5">
        <v>0</v>
      </c>
      <c r="F74" s="5">
        <v>0</v>
      </c>
      <c r="G74" s="5">
        <v>0</v>
      </c>
      <c r="H74" s="4">
        <v>0</v>
      </c>
      <c r="I74" s="5">
        <f>pmsurya[[#This Row],[applications]]-pmsurya[[#This Row],[installations]]</f>
        <v>6</v>
      </c>
      <c r="J74" s="6">
        <f>(pmsurya[[#This Row],[installations]]/pmsurya[[#This Row],[applications]])</f>
        <v>0</v>
      </c>
    </row>
    <row r="75" spans="1:10" x14ac:dyDescent="0.3">
      <c r="A75" s="3" t="s">
        <v>35</v>
      </c>
      <c r="B75" t="str">
        <f>VLOOKUP(pmsurya[[#This Row],[state]],State!$A$2:$B$37,2,0)</f>
        <v xml:space="preserve"> Arunachal Pradesh</v>
      </c>
      <c r="C75" t="s">
        <v>45</v>
      </c>
      <c r="D75" s="5">
        <v>10</v>
      </c>
      <c r="E75" s="5">
        <v>0</v>
      </c>
      <c r="F75" s="5">
        <v>0</v>
      </c>
      <c r="G75" s="5">
        <v>0</v>
      </c>
      <c r="H75" s="4">
        <v>0</v>
      </c>
      <c r="I75" s="5">
        <f>pmsurya[[#This Row],[applications]]-pmsurya[[#This Row],[installations]]</f>
        <v>10</v>
      </c>
      <c r="J75" s="6">
        <f>(pmsurya[[#This Row],[installations]]/pmsurya[[#This Row],[applications]])</f>
        <v>0</v>
      </c>
    </row>
    <row r="76" spans="1:10" x14ac:dyDescent="0.3">
      <c r="A76" s="3" t="s">
        <v>35</v>
      </c>
      <c r="B76" t="str">
        <f>VLOOKUP(pmsurya[[#This Row],[state]],State!$A$2:$B$37,2,0)</f>
        <v xml:space="preserve"> Arunachal Pradesh</v>
      </c>
      <c r="C76" t="s">
        <v>46</v>
      </c>
      <c r="D76" s="5">
        <v>26</v>
      </c>
      <c r="E76" s="5">
        <v>0</v>
      </c>
      <c r="F76" s="5">
        <v>0</v>
      </c>
      <c r="G76" s="5">
        <v>0</v>
      </c>
      <c r="H76" s="4">
        <v>0</v>
      </c>
      <c r="I76" s="5">
        <f>pmsurya[[#This Row],[applications]]-pmsurya[[#This Row],[installations]]</f>
        <v>26</v>
      </c>
      <c r="J76" s="6">
        <f>(pmsurya[[#This Row],[installations]]/pmsurya[[#This Row],[applications]])</f>
        <v>0</v>
      </c>
    </row>
    <row r="77" spans="1:10" x14ac:dyDescent="0.3">
      <c r="A77" s="3" t="s">
        <v>35</v>
      </c>
      <c r="B77" t="str">
        <f>VLOOKUP(pmsurya[[#This Row],[state]],State!$A$2:$B$37,2,0)</f>
        <v xml:space="preserve"> Arunachal Pradesh</v>
      </c>
      <c r="C77" t="s">
        <v>47</v>
      </c>
      <c r="D77" s="5">
        <v>2</v>
      </c>
      <c r="E77" s="5">
        <v>0</v>
      </c>
      <c r="F77" s="5">
        <v>0</v>
      </c>
      <c r="G77" s="5">
        <v>0</v>
      </c>
      <c r="H77" s="4">
        <v>0</v>
      </c>
      <c r="I77" s="5">
        <f>pmsurya[[#This Row],[applications]]-pmsurya[[#This Row],[installations]]</f>
        <v>2</v>
      </c>
      <c r="J77" s="6">
        <f>(pmsurya[[#This Row],[installations]]/pmsurya[[#This Row],[applications]])</f>
        <v>0</v>
      </c>
    </row>
    <row r="78" spans="1:10" x14ac:dyDescent="0.3">
      <c r="A78" s="3" t="s">
        <v>35</v>
      </c>
      <c r="B78" t="str">
        <f>VLOOKUP(pmsurya[[#This Row],[state]],State!$A$2:$B$37,2,0)</f>
        <v xml:space="preserve"> Arunachal Pradesh</v>
      </c>
      <c r="C78" t="s">
        <v>48</v>
      </c>
      <c r="D78" s="5">
        <v>12</v>
      </c>
      <c r="E78" s="5">
        <v>0</v>
      </c>
      <c r="F78" s="5">
        <v>0</v>
      </c>
      <c r="G78" s="5">
        <v>0</v>
      </c>
      <c r="H78" s="4">
        <v>0</v>
      </c>
      <c r="I78" s="5">
        <f>pmsurya[[#This Row],[applications]]-pmsurya[[#This Row],[installations]]</f>
        <v>12</v>
      </c>
      <c r="J78" s="6">
        <f>(pmsurya[[#This Row],[installations]]/pmsurya[[#This Row],[applications]])</f>
        <v>0</v>
      </c>
    </row>
    <row r="79" spans="1:10" x14ac:dyDescent="0.3">
      <c r="A79" s="3" t="s">
        <v>35</v>
      </c>
      <c r="B79" t="str">
        <f>VLOOKUP(pmsurya[[#This Row],[state]],State!$A$2:$B$37,2,0)</f>
        <v xml:space="preserve"> Arunachal Pradesh</v>
      </c>
      <c r="C79" t="s">
        <v>49</v>
      </c>
      <c r="D79" s="5">
        <v>3</v>
      </c>
      <c r="E79" s="5">
        <v>0</v>
      </c>
      <c r="F79" s="5">
        <v>0</v>
      </c>
      <c r="G79" s="5">
        <v>0</v>
      </c>
      <c r="H79" s="4">
        <v>0</v>
      </c>
      <c r="I79" s="5">
        <f>pmsurya[[#This Row],[applications]]-pmsurya[[#This Row],[installations]]</f>
        <v>3</v>
      </c>
      <c r="J79" s="6">
        <f>(pmsurya[[#This Row],[installations]]/pmsurya[[#This Row],[applications]])</f>
        <v>0</v>
      </c>
    </row>
    <row r="80" spans="1:10" x14ac:dyDescent="0.3">
      <c r="A80" s="3" t="s">
        <v>35</v>
      </c>
      <c r="B80" t="str">
        <f>VLOOKUP(pmsurya[[#This Row],[state]],State!$A$2:$B$37,2,0)</f>
        <v xml:space="preserve"> Arunachal Pradesh</v>
      </c>
      <c r="C80" t="s">
        <v>50</v>
      </c>
      <c r="D80" s="5">
        <v>1</v>
      </c>
      <c r="E80" s="5">
        <v>0</v>
      </c>
      <c r="F80" s="5">
        <v>0</v>
      </c>
      <c r="G80" s="5">
        <v>0</v>
      </c>
      <c r="H80" s="4">
        <v>0</v>
      </c>
      <c r="I80" s="5">
        <f>pmsurya[[#This Row],[applications]]-pmsurya[[#This Row],[installations]]</f>
        <v>1</v>
      </c>
      <c r="J80" s="6">
        <f>(pmsurya[[#This Row],[installations]]/pmsurya[[#This Row],[applications]])</f>
        <v>0</v>
      </c>
    </row>
    <row r="81" spans="1:10" x14ac:dyDescent="0.3">
      <c r="A81" s="3" t="s">
        <v>35</v>
      </c>
      <c r="B81" t="str">
        <f>VLOOKUP(pmsurya[[#This Row],[state]],State!$A$2:$B$37,2,0)</f>
        <v xml:space="preserve"> Arunachal Pradesh</v>
      </c>
      <c r="C81" t="s">
        <v>51</v>
      </c>
      <c r="D81" s="5">
        <v>4</v>
      </c>
      <c r="E81" s="5">
        <v>0</v>
      </c>
      <c r="F81" s="5">
        <v>0</v>
      </c>
      <c r="G81" s="5">
        <v>0</v>
      </c>
      <c r="H81" s="4">
        <v>0</v>
      </c>
      <c r="I81" s="5">
        <f>pmsurya[[#This Row],[applications]]-pmsurya[[#This Row],[installations]]</f>
        <v>4</v>
      </c>
      <c r="J81" s="6">
        <f>(pmsurya[[#This Row],[installations]]/pmsurya[[#This Row],[applications]])</f>
        <v>0</v>
      </c>
    </row>
    <row r="82" spans="1:10" x14ac:dyDescent="0.3">
      <c r="A82" s="3" t="s">
        <v>440</v>
      </c>
      <c r="B82" t="str">
        <f>VLOOKUP(pmsurya[[#This Row],[state]],State!$A$2:$B$37,2,0)</f>
        <v xml:space="preserve"> Nagaland</v>
      </c>
      <c r="C82" t="s">
        <v>441</v>
      </c>
      <c r="D82" s="5">
        <v>114</v>
      </c>
      <c r="E82" s="5">
        <v>41</v>
      </c>
      <c r="F82" s="5">
        <v>41</v>
      </c>
      <c r="G82" s="5">
        <v>145</v>
      </c>
      <c r="H82" s="4">
        <v>3058704</v>
      </c>
      <c r="I82" s="5">
        <f>pmsurya[[#This Row],[applications]]-pmsurya[[#This Row],[installations]]</f>
        <v>73</v>
      </c>
      <c r="J82" s="6">
        <f>(pmsurya[[#This Row],[installations]]/pmsurya[[#This Row],[applications]])</f>
        <v>0.35964912280701755</v>
      </c>
    </row>
    <row r="83" spans="1:10" x14ac:dyDescent="0.3">
      <c r="A83" s="3" t="s">
        <v>440</v>
      </c>
      <c r="B83" t="str">
        <f>VLOOKUP(pmsurya[[#This Row],[state]],State!$A$2:$B$37,2,0)</f>
        <v xml:space="preserve"> Nagaland</v>
      </c>
      <c r="C83" t="s">
        <v>442</v>
      </c>
      <c r="D83" s="5">
        <v>418</v>
      </c>
      <c r="E83" s="5">
        <v>211</v>
      </c>
      <c r="F83" s="5">
        <v>211</v>
      </c>
      <c r="G83" s="5">
        <v>710</v>
      </c>
      <c r="H83" s="4">
        <v>14845776</v>
      </c>
      <c r="I83" s="5">
        <f>pmsurya[[#This Row],[applications]]-pmsurya[[#This Row],[installations]]</f>
        <v>207</v>
      </c>
      <c r="J83" s="6">
        <f>(pmsurya[[#This Row],[installations]]/pmsurya[[#This Row],[applications]])</f>
        <v>0.50478468899521534</v>
      </c>
    </row>
    <row r="84" spans="1:10" x14ac:dyDescent="0.3">
      <c r="A84" s="3" t="s">
        <v>440</v>
      </c>
      <c r="B84" t="str">
        <f>VLOOKUP(pmsurya[[#This Row],[state]],State!$A$2:$B$37,2,0)</f>
        <v xml:space="preserve"> Nagaland</v>
      </c>
      <c r="C84" t="s">
        <v>443</v>
      </c>
      <c r="D84" s="5">
        <v>6</v>
      </c>
      <c r="E84" s="5">
        <v>0</v>
      </c>
      <c r="F84" s="5">
        <v>0</v>
      </c>
      <c r="G84" s="5">
        <v>0</v>
      </c>
      <c r="H84" s="4">
        <v>0</v>
      </c>
      <c r="I84" s="5">
        <f>pmsurya[[#This Row],[applications]]-pmsurya[[#This Row],[installations]]</f>
        <v>6</v>
      </c>
      <c r="J84" s="6">
        <f>(pmsurya[[#This Row],[installations]]/pmsurya[[#This Row],[applications]])</f>
        <v>0</v>
      </c>
    </row>
    <row r="85" spans="1:10" x14ac:dyDescent="0.3">
      <c r="A85" s="3" t="s">
        <v>440</v>
      </c>
      <c r="B85" t="str">
        <f>VLOOKUP(pmsurya[[#This Row],[state]],State!$A$2:$B$37,2,0)</f>
        <v xml:space="preserve"> Nagaland</v>
      </c>
      <c r="C85" t="s">
        <v>444</v>
      </c>
      <c r="D85" s="5">
        <v>146</v>
      </c>
      <c r="E85" s="5">
        <v>49</v>
      </c>
      <c r="F85" s="5">
        <v>49</v>
      </c>
      <c r="G85" s="5">
        <v>163</v>
      </c>
      <c r="H85" s="4">
        <v>2571822</v>
      </c>
      <c r="I85" s="5">
        <f>pmsurya[[#This Row],[applications]]-pmsurya[[#This Row],[installations]]</f>
        <v>97</v>
      </c>
      <c r="J85" s="6">
        <f>(pmsurya[[#This Row],[installations]]/pmsurya[[#This Row],[applications]])</f>
        <v>0.33561643835616439</v>
      </c>
    </row>
    <row r="86" spans="1:10" x14ac:dyDescent="0.3">
      <c r="A86" s="3" t="s">
        <v>440</v>
      </c>
      <c r="B86" t="str">
        <f>VLOOKUP(pmsurya[[#This Row],[state]],State!$A$2:$B$37,2,0)</f>
        <v xml:space="preserve"> Nagaland</v>
      </c>
      <c r="C86" t="s">
        <v>445</v>
      </c>
      <c r="D86" s="5">
        <v>27</v>
      </c>
      <c r="E86" s="5">
        <v>6</v>
      </c>
      <c r="F86" s="5">
        <v>6</v>
      </c>
      <c r="G86" s="5">
        <v>18</v>
      </c>
      <c r="H86" s="4">
        <v>343200</v>
      </c>
      <c r="I86" s="5">
        <f>pmsurya[[#This Row],[applications]]-pmsurya[[#This Row],[installations]]</f>
        <v>21</v>
      </c>
      <c r="J86" s="6">
        <f>(pmsurya[[#This Row],[installations]]/pmsurya[[#This Row],[applications]])</f>
        <v>0.22222222222222221</v>
      </c>
    </row>
    <row r="87" spans="1:10" x14ac:dyDescent="0.3">
      <c r="A87" s="3" t="s">
        <v>440</v>
      </c>
      <c r="B87" t="str">
        <f>VLOOKUP(pmsurya[[#This Row],[state]],State!$A$2:$B$37,2,0)</f>
        <v xml:space="preserve"> Nagaland</v>
      </c>
      <c r="C87" t="s">
        <v>446</v>
      </c>
      <c r="D87" s="5">
        <v>24</v>
      </c>
      <c r="E87" s="5">
        <v>0</v>
      </c>
      <c r="F87" s="5">
        <v>0</v>
      </c>
      <c r="G87" s="5">
        <v>0</v>
      </c>
      <c r="H87" s="4">
        <v>0</v>
      </c>
      <c r="I87" s="5">
        <f>pmsurya[[#This Row],[applications]]-pmsurya[[#This Row],[installations]]</f>
        <v>24</v>
      </c>
      <c r="J87" s="6">
        <f>(pmsurya[[#This Row],[installations]]/pmsurya[[#This Row],[applications]])</f>
        <v>0</v>
      </c>
    </row>
    <row r="88" spans="1:10" x14ac:dyDescent="0.3">
      <c r="A88" s="3" t="s">
        <v>440</v>
      </c>
      <c r="B88" t="str">
        <f>VLOOKUP(pmsurya[[#This Row],[state]],State!$A$2:$B$37,2,0)</f>
        <v xml:space="preserve"> Nagaland</v>
      </c>
      <c r="C88" t="s">
        <v>447</v>
      </c>
      <c r="D88" s="5">
        <v>7</v>
      </c>
      <c r="E88" s="5">
        <v>1</v>
      </c>
      <c r="F88" s="5">
        <v>1</v>
      </c>
      <c r="G88" s="5">
        <v>2</v>
      </c>
      <c r="H88" s="4">
        <v>69960</v>
      </c>
      <c r="I88" s="5">
        <f>pmsurya[[#This Row],[applications]]-pmsurya[[#This Row],[installations]]</f>
        <v>6</v>
      </c>
      <c r="J88" s="6">
        <f>(pmsurya[[#This Row],[installations]]/pmsurya[[#This Row],[applications]])</f>
        <v>0.14285714285714285</v>
      </c>
    </row>
    <row r="89" spans="1:10" x14ac:dyDescent="0.3">
      <c r="A89" s="3" t="s">
        <v>440</v>
      </c>
      <c r="B89" t="str">
        <f>VLOOKUP(pmsurya[[#This Row],[state]],State!$A$2:$B$37,2,0)</f>
        <v xml:space="preserve"> Nagaland</v>
      </c>
      <c r="C89" t="s">
        <v>448</v>
      </c>
      <c r="D89" s="5">
        <v>35</v>
      </c>
      <c r="E89" s="5">
        <v>7</v>
      </c>
      <c r="F89" s="5">
        <v>7</v>
      </c>
      <c r="G89" s="5">
        <v>20</v>
      </c>
      <c r="H89" s="4">
        <v>171600</v>
      </c>
      <c r="I89" s="5">
        <f>pmsurya[[#This Row],[applications]]-pmsurya[[#This Row],[installations]]</f>
        <v>28</v>
      </c>
      <c r="J89" s="6">
        <f>(pmsurya[[#This Row],[installations]]/pmsurya[[#This Row],[applications]])</f>
        <v>0.2</v>
      </c>
    </row>
    <row r="90" spans="1:10" x14ac:dyDescent="0.3">
      <c r="A90" s="3" t="s">
        <v>440</v>
      </c>
      <c r="B90" t="str">
        <f>VLOOKUP(pmsurya[[#This Row],[state]],State!$A$2:$B$37,2,0)</f>
        <v xml:space="preserve"> Nagaland</v>
      </c>
      <c r="C90" t="s">
        <v>449</v>
      </c>
      <c r="D90" s="5">
        <v>23</v>
      </c>
      <c r="E90" s="5">
        <v>0</v>
      </c>
      <c r="F90" s="5">
        <v>0</v>
      </c>
      <c r="G90" s="5">
        <v>0</v>
      </c>
      <c r="H90" s="4">
        <v>0</v>
      </c>
      <c r="I90" s="5">
        <f>pmsurya[[#This Row],[applications]]-pmsurya[[#This Row],[installations]]</f>
        <v>23</v>
      </c>
      <c r="J90" s="6">
        <f>(pmsurya[[#This Row],[installations]]/pmsurya[[#This Row],[applications]])</f>
        <v>0</v>
      </c>
    </row>
    <row r="91" spans="1:10" x14ac:dyDescent="0.3">
      <c r="A91" s="3" t="s">
        <v>440</v>
      </c>
      <c r="B91" t="str">
        <f>VLOOKUP(pmsurya[[#This Row],[state]],State!$A$2:$B$37,2,0)</f>
        <v xml:space="preserve"> Nagaland</v>
      </c>
      <c r="C91" t="s">
        <v>450</v>
      </c>
      <c r="D91" s="5">
        <v>51</v>
      </c>
      <c r="E91" s="5">
        <v>1</v>
      </c>
      <c r="F91" s="5">
        <v>1</v>
      </c>
      <c r="G91" s="5">
        <v>3</v>
      </c>
      <c r="H91" s="4">
        <v>85800</v>
      </c>
      <c r="I91" s="5">
        <f>pmsurya[[#This Row],[applications]]-pmsurya[[#This Row],[installations]]</f>
        <v>50</v>
      </c>
      <c r="J91" s="6">
        <f>(pmsurya[[#This Row],[installations]]/pmsurya[[#This Row],[applications]])</f>
        <v>1.9607843137254902E-2</v>
      </c>
    </row>
    <row r="92" spans="1:10" x14ac:dyDescent="0.3">
      <c r="A92" s="3" t="s">
        <v>440</v>
      </c>
      <c r="B92" t="str">
        <f>VLOOKUP(pmsurya[[#This Row],[state]],State!$A$2:$B$37,2,0)</f>
        <v xml:space="preserve"> Nagaland</v>
      </c>
      <c r="C92" t="s">
        <v>451</v>
      </c>
      <c r="D92" s="5">
        <v>20</v>
      </c>
      <c r="E92" s="5">
        <v>0</v>
      </c>
      <c r="F92" s="5">
        <v>0</v>
      </c>
      <c r="G92" s="5">
        <v>0</v>
      </c>
      <c r="H92" s="4">
        <v>0</v>
      </c>
      <c r="I92" s="5">
        <f>pmsurya[[#This Row],[applications]]-pmsurya[[#This Row],[installations]]</f>
        <v>20</v>
      </c>
      <c r="J92" s="6">
        <f>(pmsurya[[#This Row],[installations]]/pmsurya[[#This Row],[applications]])</f>
        <v>0</v>
      </c>
    </row>
    <row r="93" spans="1:10" x14ac:dyDescent="0.3">
      <c r="A93" s="3" t="s">
        <v>440</v>
      </c>
      <c r="B93" t="str">
        <f>VLOOKUP(pmsurya[[#This Row],[state]],State!$A$2:$B$37,2,0)</f>
        <v xml:space="preserve"> Nagaland</v>
      </c>
      <c r="C93" t="s">
        <v>452</v>
      </c>
      <c r="D93" s="5">
        <v>24</v>
      </c>
      <c r="E93" s="5">
        <v>0</v>
      </c>
      <c r="F93" s="5">
        <v>0</v>
      </c>
      <c r="G93" s="5">
        <v>0</v>
      </c>
      <c r="H93" s="4">
        <v>0</v>
      </c>
      <c r="I93" s="5">
        <f>pmsurya[[#This Row],[applications]]-pmsurya[[#This Row],[installations]]</f>
        <v>24</v>
      </c>
      <c r="J93" s="6">
        <f>(pmsurya[[#This Row],[installations]]/pmsurya[[#This Row],[applications]])</f>
        <v>0</v>
      </c>
    </row>
    <row r="94" spans="1:10" x14ac:dyDescent="0.3">
      <c r="A94" s="3" t="s">
        <v>399</v>
      </c>
      <c r="B94" t="str">
        <f>VLOOKUP(pmsurya[[#This Row],[state]],State!$A$2:$B$37,2,0)</f>
        <v xml:space="preserve"> Manipur</v>
      </c>
      <c r="C94" t="s">
        <v>400</v>
      </c>
      <c r="D94" s="5">
        <v>164</v>
      </c>
      <c r="E94" s="5">
        <v>26</v>
      </c>
      <c r="F94" s="5">
        <v>26</v>
      </c>
      <c r="G94" s="5">
        <v>95</v>
      </c>
      <c r="H94" s="4">
        <v>1679568</v>
      </c>
      <c r="I94" s="5">
        <f>pmsurya[[#This Row],[applications]]-pmsurya[[#This Row],[installations]]</f>
        <v>138</v>
      </c>
      <c r="J94" s="6">
        <f>(pmsurya[[#This Row],[installations]]/pmsurya[[#This Row],[applications]])</f>
        <v>0.15853658536585366</v>
      </c>
    </row>
    <row r="95" spans="1:10" x14ac:dyDescent="0.3">
      <c r="A95" s="3" t="s">
        <v>399</v>
      </c>
      <c r="B95" t="str">
        <f>VLOOKUP(pmsurya[[#This Row],[state]],State!$A$2:$B$37,2,0)</f>
        <v xml:space="preserve"> Manipur</v>
      </c>
      <c r="C95" t="s">
        <v>401</v>
      </c>
      <c r="D95" s="5">
        <v>5</v>
      </c>
      <c r="E95" s="5">
        <v>0</v>
      </c>
      <c r="F95" s="5">
        <v>0</v>
      </c>
      <c r="G95" s="5">
        <v>0</v>
      </c>
      <c r="H95" s="4">
        <v>0</v>
      </c>
      <c r="I95" s="5">
        <f>pmsurya[[#This Row],[applications]]-pmsurya[[#This Row],[installations]]</f>
        <v>5</v>
      </c>
      <c r="J95" s="6">
        <f>(pmsurya[[#This Row],[installations]]/pmsurya[[#This Row],[applications]])</f>
        <v>0</v>
      </c>
    </row>
    <row r="96" spans="1:10" x14ac:dyDescent="0.3">
      <c r="A96" s="3" t="s">
        <v>399</v>
      </c>
      <c r="B96" t="str">
        <f>VLOOKUP(pmsurya[[#This Row],[state]],State!$A$2:$B$37,2,0)</f>
        <v xml:space="preserve"> Manipur</v>
      </c>
      <c r="C96" t="s">
        <v>402</v>
      </c>
      <c r="D96" s="5">
        <v>64</v>
      </c>
      <c r="E96" s="5">
        <v>16</v>
      </c>
      <c r="F96" s="5">
        <v>16</v>
      </c>
      <c r="G96" s="5">
        <v>49</v>
      </c>
      <c r="H96" s="4">
        <v>1185360</v>
      </c>
      <c r="I96" s="5">
        <f>pmsurya[[#This Row],[applications]]-pmsurya[[#This Row],[installations]]</f>
        <v>48</v>
      </c>
      <c r="J96" s="6">
        <f>(pmsurya[[#This Row],[installations]]/pmsurya[[#This Row],[applications]])</f>
        <v>0.25</v>
      </c>
    </row>
    <row r="97" spans="1:10" x14ac:dyDescent="0.3">
      <c r="A97" s="3" t="s">
        <v>399</v>
      </c>
      <c r="B97" t="str">
        <f>VLOOKUP(pmsurya[[#This Row],[state]],State!$A$2:$B$37,2,0)</f>
        <v xml:space="preserve"> Manipur</v>
      </c>
      <c r="C97" t="s">
        <v>403</v>
      </c>
      <c r="D97" s="5">
        <v>791</v>
      </c>
      <c r="E97" s="5">
        <v>386</v>
      </c>
      <c r="F97" s="5">
        <v>386</v>
      </c>
      <c r="G97" s="5">
        <v>1582</v>
      </c>
      <c r="H97" s="4">
        <v>29483124</v>
      </c>
      <c r="I97" s="5">
        <f>pmsurya[[#This Row],[applications]]-pmsurya[[#This Row],[installations]]</f>
        <v>405</v>
      </c>
      <c r="J97" s="6">
        <f>(pmsurya[[#This Row],[installations]]/pmsurya[[#This Row],[applications]])</f>
        <v>0.48798988621997469</v>
      </c>
    </row>
    <row r="98" spans="1:10" x14ac:dyDescent="0.3">
      <c r="A98" s="3" t="s">
        <v>399</v>
      </c>
      <c r="B98" t="str">
        <f>VLOOKUP(pmsurya[[#This Row],[state]],State!$A$2:$B$37,2,0)</f>
        <v xml:space="preserve"> Manipur</v>
      </c>
      <c r="C98" t="s">
        <v>404</v>
      </c>
      <c r="D98" s="5">
        <v>1153</v>
      </c>
      <c r="E98" s="5">
        <v>654</v>
      </c>
      <c r="F98" s="5">
        <v>654</v>
      </c>
      <c r="G98" s="5">
        <v>2633</v>
      </c>
      <c r="H98" s="4">
        <v>51585204</v>
      </c>
      <c r="I98" s="5">
        <f>pmsurya[[#This Row],[applications]]-pmsurya[[#This Row],[installations]]</f>
        <v>499</v>
      </c>
      <c r="J98" s="6">
        <f>(pmsurya[[#This Row],[installations]]/pmsurya[[#This Row],[applications]])</f>
        <v>0.56721595836947092</v>
      </c>
    </row>
    <row r="99" spans="1:10" x14ac:dyDescent="0.3">
      <c r="A99" s="3" t="s">
        <v>399</v>
      </c>
      <c r="B99" t="str">
        <f>VLOOKUP(pmsurya[[#This Row],[state]],State!$A$2:$B$37,2,0)</f>
        <v xml:space="preserve"> Manipur</v>
      </c>
      <c r="C99" t="s">
        <v>405</v>
      </c>
      <c r="D99" s="5">
        <v>10</v>
      </c>
      <c r="E99" s="5">
        <v>0</v>
      </c>
      <c r="F99" s="5">
        <v>0</v>
      </c>
      <c r="G99" s="5">
        <v>0</v>
      </c>
      <c r="H99" s="4">
        <v>0</v>
      </c>
      <c r="I99" s="5">
        <f>pmsurya[[#This Row],[applications]]-pmsurya[[#This Row],[installations]]</f>
        <v>10</v>
      </c>
      <c r="J99" s="6">
        <f>(pmsurya[[#This Row],[installations]]/pmsurya[[#This Row],[applications]])</f>
        <v>0</v>
      </c>
    </row>
    <row r="100" spans="1:10" x14ac:dyDescent="0.3">
      <c r="A100" s="3" t="s">
        <v>399</v>
      </c>
      <c r="B100" t="str">
        <f>VLOOKUP(pmsurya[[#This Row],[state]],State!$A$2:$B$37,2,0)</f>
        <v xml:space="preserve"> Manipur</v>
      </c>
      <c r="C100" t="s">
        <v>406</v>
      </c>
      <c r="D100" s="5">
        <v>80</v>
      </c>
      <c r="E100" s="5">
        <v>39</v>
      </c>
      <c r="F100" s="5">
        <v>39</v>
      </c>
      <c r="G100" s="5">
        <v>126</v>
      </c>
      <c r="H100" s="4">
        <v>2831400</v>
      </c>
      <c r="I100" s="5">
        <f>pmsurya[[#This Row],[applications]]-pmsurya[[#This Row],[installations]]</f>
        <v>41</v>
      </c>
      <c r="J100" s="6">
        <f>(pmsurya[[#This Row],[installations]]/pmsurya[[#This Row],[applications]])</f>
        <v>0.48749999999999999</v>
      </c>
    </row>
    <row r="101" spans="1:10" x14ac:dyDescent="0.3">
      <c r="A101" s="3" t="s">
        <v>399</v>
      </c>
      <c r="B101" t="str">
        <f>VLOOKUP(pmsurya[[#This Row],[state]],State!$A$2:$B$37,2,0)</f>
        <v xml:space="preserve"> Manipur</v>
      </c>
      <c r="C101" t="s">
        <v>407</v>
      </c>
      <c r="D101" s="5">
        <v>2</v>
      </c>
      <c r="E101" s="5">
        <v>0</v>
      </c>
      <c r="F101" s="5">
        <v>0</v>
      </c>
      <c r="G101" s="5">
        <v>0</v>
      </c>
      <c r="H101" s="4">
        <v>0</v>
      </c>
      <c r="I101" s="5">
        <f>pmsurya[[#This Row],[applications]]-pmsurya[[#This Row],[installations]]</f>
        <v>2</v>
      </c>
      <c r="J101" s="6">
        <f>(pmsurya[[#This Row],[installations]]/pmsurya[[#This Row],[applications]])</f>
        <v>0</v>
      </c>
    </row>
    <row r="102" spans="1:10" x14ac:dyDescent="0.3">
      <c r="A102" s="3" t="s">
        <v>399</v>
      </c>
      <c r="B102" t="str">
        <f>VLOOKUP(pmsurya[[#This Row],[state]],State!$A$2:$B$37,2,0)</f>
        <v xml:space="preserve"> Manipur</v>
      </c>
      <c r="C102" t="s">
        <v>408</v>
      </c>
      <c r="D102" s="5">
        <v>182</v>
      </c>
      <c r="E102" s="5">
        <v>75</v>
      </c>
      <c r="F102" s="5">
        <v>75</v>
      </c>
      <c r="G102" s="5">
        <v>241</v>
      </c>
      <c r="H102" s="4">
        <v>6263400</v>
      </c>
      <c r="I102" s="5">
        <f>pmsurya[[#This Row],[applications]]-pmsurya[[#This Row],[installations]]</f>
        <v>107</v>
      </c>
      <c r="J102" s="6">
        <f>(pmsurya[[#This Row],[installations]]/pmsurya[[#This Row],[applications]])</f>
        <v>0.41208791208791207</v>
      </c>
    </row>
    <row r="103" spans="1:10" x14ac:dyDescent="0.3">
      <c r="A103" s="3" t="s">
        <v>399</v>
      </c>
      <c r="B103" t="str">
        <f>VLOOKUP(pmsurya[[#This Row],[state]],State!$A$2:$B$37,2,0)</f>
        <v xml:space="preserve"> Manipur</v>
      </c>
      <c r="C103" t="s">
        <v>409</v>
      </c>
      <c r="D103" s="5">
        <v>1</v>
      </c>
      <c r="E103" s="5">
        <v>0</v>
      </c>
      <c r="F103" s="5">
        <v>0</v>
      </c>
      <c r="G103" s="5">
        <v>0</v>
      </c>
      <c r="H103" s="4">
        <v>0</v>
      </c>
      <c r="I103" s="5">
        <f>pmsurya[[#This Row],[applications]]-pmsurya[[#This Row],[installations]]</f>
        <v>1</v>
      </c>
      <c r="J103" s="6">
        <f>(pmsurya[[#This Row],[installations]]/pmsurya[[#This Row],[applications]])</f>
        <v>0</v>
      </c>
    </row>
    <row r="104" spans="1:10" x14ac:dyDescent="0.3">
      <c r="A104" s="3" t="s">
        <v>399</v>
      </c>
      <c r="B104" t="str">
        <f>VLOOKUP(pmsurya[[#This Row],[state]],State!$A$2:$B$37,2,0)</f>
        <v xml:space="preserve"> Manipur</v>
      </c>
      <c r="C104" t="s">
        <v>410</v>
      </c>
      <c r="D104" s="5">
        <v>12</v>
      </c>
      <c r="E104" s="5">
        <v>1</v>
      </c>
      <c r="F104" s="5">
        <v>1</v>
      </c>
      <c r="G104" s="5">
        <v>2</v>
      </c>
      <c r="H104" s="4">
        <v>69960</v>
      </c>
      <c r="I104" s="5">
        <f>pmsurya[[#This Row],[applications]]-pmsurya[[#This Row],[installations]]</f>
        <v>11</v>
      </c>
      <c r="J104" s="6">
        <f>(pmsurya[[#This Row],[installations]]/pmsurya[[#This Row],[applications]])</f>
        <v>8.3333333333333329E-2</v>
      </c>
    </row>
    <row r="105" spans="1:10" x14ac:dyDescent="0.3">
      <c r="A105" s="3" t="s">
        <v>399</v>
      </c>
      <c r="B105" t="str">
        <f>VLOOKUP(pmsurya[[#This Row],[state]],State!$A$2:$B$37,2,0)</f>
        <v xml:space="preserve"> Manipur</v>
      </c>
      <c r="C105" t="s">
        <v>411</v>
      </c>
      <c r="D105" s="5">
        <v>6</v>
      </c>
      <c r="E105" s="5">
        <v>0</v>
      </c>
      <c r="F105" s="5">
        <v>0</v>
      </c>
      <c r="G105" s="5">
        <v>0</v>
      </c>
      <c r="H105" s="4">
        <v>0</v>
      </c>
      <c r="I105" s="5">
        <f>pmsurya[[#This Row],[applications]]-pmsurya[[#This Row],[installations]]</f>
        <v>6</v>
      </c>
      <c r="J105" s="6">
        <f>(pmsurya[[#This Row],[installations]]/pmsurya[[#This Row],[applications]])</f>
        <v>0</v>
      </c>
    </row>
    <row r="106" spans="1:10" x14ac:dyDescent="0.3">
      <c r="A106" s="3" t="s">
        <v>399</v>
      </c>
      <c r="B106" t="str">
        <f>VLOOKUP(pmsurya[[#This Row],[state]],State!$A$2:$B$37,2,0)</f>
        <v xml:space="preserve"> Manipur</v>
      </c>
      <c r="C106" t="s">
        <v>412</v>
      </c>
      <c r="D106" s="5">
        <v>4</v>
      </c>
      <c r="E106" s="5">
        <v>3</v>
      </c>
      <c r="F106" s="5">
        <v>3</v>
      </c>
      <c r="G106" s="5">
        <v>9</v>
      </c>
      <c r="H106" s="4">
        <v>171600</v>
      </c>
      <c r="I106" s="5">
        <f>pmsurya[[#This Row],[applications]]-pmsurya[[#This Row],[installations]]</f>
        <v>1</v>
      </c>
      <c r="J106" s="6">
        <f>(pmsurya[[#This Row],[installations]]/pmsurya[[#This Row],[applications]])</f>
        <v>0.75</v>
      </c>
    </row>
    <row r="107" spans="1:10" x14ac:dyDescent="0.3">
      <c r="A107" s="3" t="s">
        <v>399</v>
      </c>
      <c r="B107" t="str">
        <f>VLOOKUP(pmsurya[[#This Row],[state]],State!$A$2:$B$37,2,0)</f>
        <v xml:space="preserve"> Manipur</v>
      </c>
      <c r="C107" t="s">
        <v>413</v>
      </c>
      <c r="D107" s="5">
        <v>229</v>
      </c>
      <c r="E107" s="5">
        <v>61</v>
      </c>
      <c r="F107" s="5">
        <v>61</v>
      </c>
      <c r="G107" s="5">
        <v>218</v>
      </c>
      <c r="H107" s="4">
        <v>4357584</v>
      </c>
      <c r="I107" s="5">
        <f>pmsurya[[#This Row],[applications]]-pmsurya[[#This Row],[installations]]</f>
        <v>168</v>
      </c>
      <c r="J107" s="6">
        <f>(pmsurya[[#This Row],[installations]]/pmsurya[[#This Row],[applications]])</f>
        <v>0.26637554585152839</v>
      </c>
    </row>
    <row r="108" spans="1:10" x14ac:dyDescent="0.3">
      <c r="A108" s="3" t="s">
        <v>399</v>
      </c>
      <c r="B108" t="str">
        <f>VLOOKUP(pmsurya[[#This Row],[state]],State!$A$2:$B$37,2,0)</f>
        <v xml:space="preserve"> Manipur</v>
      </c>
      <c r="C108" t="s">
        <v>414</v>
      </c>
      <c r="D108" s="5">
        <v>17</v>
      </c>
      <c r="E108" s="5">
        <v>0</v>
      </c>
      <c r="F108" s="5">
        <v>0</v>
      </c>
      <c r="G108" s="5">
        <v>0</v>
      </c>
      <c r="H108" s="4">
        <v>0</v>
      </c>
      <c r="I108" s="5">
        <f>pmsurya[[#This Row],[applications]]-pmsurya[[#This Row],[installations]]</f>
        <v>17</v>
      </c>
      <c r="J108" s="6">
        <f>(pmsurya[[#This Row],[installations]]/pmsurya[[#This Row],[applications]])</f>
        <v>0</v>
      </c>
    </row>
    <row r="109" spans="1:10" x14ac:dyDescent="0.3">
      <c r="A109" s="3" t="s">
        <v>428</v>
      </c>
      <c r="B109" t="str">
        <f>VLOOKUP(pmsurya[[#This Row],[state]],State!$A$2:$B$37,2,0)</f>
        <v xml:space="preserve"> Mizoram</v>
      </c>
      <c r="C109" t="s">
        <v>429</v>
      </c>
      <c r="D109" s="5">
        <v>1106</v>
      </c>
      <c r="E109" s="5">
        <v>993</v>
      </c>
      <c r="F109" s="5">
        <v>993</v>
      </c>
      <c r="G109" s="5">
        <v>4059</v>
      </c>
      <c r="H109" s="4">
        <v>74955210</v>
      </c>
      <c r="I109" s="5">
        <f>pmsurya[[#This Row],[applications]]-pmsurya[[#This Row],[installations]]</f>
        <v>113</v>
      </c>
      <c r="J109" s="6">
        <f>(pmsurya[[#This Row],[installations]]/pmsurya[[#This Row],[applications]])</f>
        <v>0.89783001808318263</v>
      </c>
    </row>
    <row r="110" spans="1:10" x14ac:dyDescent="0.3">
      <c r="A110" s="3" t="s">
        <v>428</v>
      </c>
      <c r="B110" t="str">
        <f>VLOOKUP(pmsurya[[#This Row],[state]],State!$A$2:$B$37,2,0)</f>
        <v xml:space="preserve"> Mizoram</v>
      </c>
      <c r="C110" t="s">
        <v>430</v>
      </c>
      <c r="D110" s="5">
        <v>40</v>
      </c>
      <c r="E110" s="5">
        <v>35</v>
      </c>
      <c r="F110" s="5">
        <v>35</v>
      </c>
      <c r="G110" s="5">
        <v>140</v>
      </c>
      <c r="H110" s="4">
        <v>2316600</v>
      </c>
      <c r="I110" s="5">
        <f>pmsurya[[#This Row],[applications]]-pmsurya[[#This Row],[installations]]</f>
        <v>5</v>
      </c>
      <c r="J110" s="6">
        <f>(pmsurya[[#This Row],[installations]]/pmsurya[[#This Row],[applications]])</f>
        <v>0.875</v>
      </c>
    </row>
    <row r="111" spans="1:10" x14ac:dyDescent="0.3">
      <c r="A111" s="3" t="s">
        <v>428</v>
      </c>
      <c r="B111" t="str">
        <f>VLOOKUP(pmsurya[[#This Row],[state]],State!$A$2:$B$37,2,0)</f>
        <v xml:space="preserve"> Mizoram</v>
      </c>
      <c r="C111" t="s">
        <v>431</v>
      </c>
      <c r="D111" s="5">
        <v>2</v>
      </c>
      <c r="E111" s="5">
        <v>1</v>
      </c>
      <c r="F111" s="5">
        <v>1</v>
      </c>
      <c r="G111" s="5">
        <v>5</v>
      </c>
      <c r="H111" s="4">
        <v>85800</v>
      </c>
      <c r="I111" s="5">
        <f>pmsurya[[#This Row],[applications]]-pmsurya[[#This Row],[installations]]</f>
        <v>1</v>
      </c>
      <c r="J111" s="6">
        <f>(pmsurya[[#This Row],[installations]]/pmsurya[[#This Row],[applications]])</f>
        <v>0.5</v>
      </c>
    </row>
    <row r="112" spans="1:10" x14ac:dyDescent="0.3">
      <c r="A112" s="3" t="s">
        <v>428</v>
      </c>
      <c r="B112" t="str">
        <f>VLOOKUP(pmsurya[[#This Row],[state]],State!$A$2:$B$37,2,0)</f>
        <v xml:space="preserve"> Mizoram</v>
      </c>
      <c r="C112" t="s">
        <v>432</v>
      </c>
      <c r="D112" s="5">
        <v>22</v>
      </c>
      <c r="E112" s="5">
        <v>19</v>
      </c>
      <c r="F112" s="5">
        <v>19</v>
      </c>
      <c r="G112" s="5">
        <v>67</v>
      </c>
      <c r="H112" s="4">
        <v>1544400</v>
      </c>
      <c r="I112" s="5">
        <f>pmsurya[[#This Row],[applications]]-pmsurya[[#This Row],[installations]]</f>
        <v>3</v>
      </c>
      <c r="J112" s="6">
        <f>(pmsurya[[#This Row],[installations]]/pmsurya[[#This Row],[applications]])</f>
        <v>0.86363636363636365</v>
      </c>
    </row>
    <row r="113" spans="1:10" x14ac:dyDescent="0.3">
      <c r="A113" s="3" t="s">
        <v>428</v>
      </c>
      <c r="B113" t="str">
        <f>VLOOKUP(pmsurya[[#This Row],[state]],State!$A$2:$B$37,2,0)</f>
        <v xml:space="preserve"> Mizoram</v>
      </c>
      <c r="C113" t="s">
        <v>433</v>
      </c>
      <c r="D113" s="5">
        <v>69</v>
      </c>
      <c r="E113" s="5">
        <v>54</v>
      </c>
      <c r="F113" s="5">
        <v>54</v>
      </c>
      <c r="G113" s="5">
        <v>208</v>
      </c>
      <c r="H113" s="4">
        <v>3725700</v>
      </c>
      <c r="I113" s="5">
        <f>pmsurya[[#This Row],[applications]]-pmsurya[[#This Row],[installations]]</f>
        <v>15</v>
      </c>
      <c r="J113" s="6">
        <f>(pmsurya[[#This Row],[installations]]/pmsurya[[#This Row],[applications]])</f>
        <v>0.78260869565217395</v>
      </c>
    </row>
    <row r="114" spans="1:10" x14ac:dyDescent="0.3">
      <c r="A114" s="3" t="s">
        <v>428</v>
      </c>
      <c r="B114" t="str">
        <f>VLOOKUP(pmsurya[[#This Row],[state]],State!$A$2:$B$37,2,0)</f>
        <v xml:space="preserve"> Mizoram</v>
      </c>
      <c r="C114" t="s">
        <v>434</v>
      </c>
      <c r="D114" s="5">
        <v>8</v>
      </c>
      <c r="E114" s="5">
        <v>3</v>
      </c>
      <c r="F114" s="5">
        <v>3</v>
      </c>
      <c r="G114" s="5">
        <v>11</v>
      </c>
      <c r="H114" s="4">
        <v>171600</v>
      </c>
      <c r="I114" s="5">
        <f>pmsurya[[#This Row],[applications]]-pmsurya[[#This Row],[installations]]</f>
        <v>5</v>
      </c>
      <c r="J114" s="6">
        <f>(pmsurya[[#This Row],[installations]]/pmsurya[[#This Row],[applications]])</f>
        <v>0.375</v>
      </c>
    </row>
    <row r="115" spans="1:10" x14ac:dyDescent="0.3">
      <c r="A115" s="3" t="s">
        <v>428</v>
      </c>
      <c r="B115" t="str">
        <f>VLOOKUP(pmsurya[[#This Row],[state]],State!$A$2:$B$37,2,0)</f>
        <v xml:space="preserve"> Mizoram</v>
      </c>
      <c r="C115" t="s">
        <v>435</v>
      </c>
      <c r="D115" s="5">
        <v>104</v>
      </c>
      <c r="E115" s="5">
        <v>70</v>
      </c>
      <c r="F115" s="5">
        <v>72</v>
      </c>
      <c r="G115" s="5">
        <v>242</v>
      </c>
      <c r="H115" s="4">
        <v>5075400</v>
      </c>
      <c r="I115" s="5">
        <f>pmsurya[[#This Row],[applications]]-pmsurya[[#This Row],[installations]]</f>
        <v>34</v>
      </c>
      <c r="J115" s="6">
        <f>(pmsurya[[#This Row],[installations]]/pmsurya[[#This Row],[applications]])</f>
        <v>0.67307692307692313</v>
      </c>
    </row>
    <row r="116" spans="1:10" x14ac:dyDescent="0.3">
      <c r="A116" s="3" t="s">
        <v>428</v>
      </c>
      <c r="B116" t="str">
        <f>VLOOKUP(pmsurya[[#This Row],[state]],State!$A$2:$B$37,2,0)</f>
        <v xml:space="preserve"> Mizoram</v>
      </c>
      <c r="C116" t="s">
        <v>436</v>
      </c>
      <c r="D116" s="5">
        <v>22</v>
      </c>
      <c r="E116" s="5">
        <v>17</v>
      </c>
      <c r="F116" s="5">
        <v>17</v>
      </c>
      <c r="G116" s="5">
        <v>60</v>
      </c>
      <c r="H116" s="4">
        <v>1442760</v>
      </c>
      <c r="I116" s="5">
        <f>pmsurya[[#This Row],[applications]]-pmsurya[[#This Row],[installations]]</f>
        <v>5</v>
      </c>
      <c r="J116" s="6">
        <f>(pmsurya[[#This Row],[installations]]/pmsurya[[#This Row],[applications]])</f>
        <v>0.77272727272727271</v>
      </c>
    </row>
    <row r="117" spans="1:10" x14ac:dyDescent="0.3">
      <c r="A117" s="3" t="s">
        <v>428</v>
      </c>
      <c r="B117" t="str">
        <f>VLOOKUP(pmsurya[[#This Row],[state]],State!$A$2:$B$37,2,0)</f>
        <v xml:space="preserve"> Mizoram</v>
      </c>
      <c r="C117" t="s">
        <v>437</v>
      </c>
      <c r="D117" s="5">
        <v>16</v>
      </c>
      <c r="E117" s="5">
        <v>13</v>
      </c>
      <c r="F117" s="5">
        <v>13</v>
      </c>
      <c r="G117" s="5">
        <v>41</v>
      </c>
      <c r="H117" s="4">
        <v>1099560</v>
      </c>
      <c r="I117" s="5">
        <f>pmsurya[[#This Row],[applications]]-pmsurya[[#This Row],[installations]]</f>
        <v>3</v>
      </c>
      <c r="J117" s="6">
        <f>(pmsurya[[#This Row],[installations]]/pmsurya[[#This Row],[applications]])</f>
        <v>0.8125</v>
      </c>
    </row>
    <row r="118" spans="1:10" x14ac:dyDescent="0.3">
      <c r="A118" s="3" t="s">
        <v>428</v>
      </c>
      <c r="B118" t="str">
        <f>VLOOKUP(pmsurya[[#This Row],[state]],State!$A$2:$B$37,2,0)</f>
        <v xml:space="preserve"> Mizoram</v>
      </c>
      <c r="C118" t="s">
        <v>438</v>
      </c>
      <c r="D118" s="5">
        <v>24</v>
      </c>
      <c r="E118" s="5">
        <v>13</v>
      </c>
      <c r="F118" s="5">
        <v>13</v>
      </c>
      <c r="G118" s="5">
        <v>51</v>
      </c>
      <c r="H118" s="4">
        <v>927960</v>
      </c>
      <c r="I118" s="5">
        <f>pmsurya[[#This Row],[applications]]-pmsurya[[#This Row],[installations]]</f>
        <v>11</v>
      </c>
      <c r="J118" s="6">
        <f>(pmsurya[[#This Row],[installations]]/pmsurya[[#This Row],[applications]])</f>
        <v>0.54166666666666663</v>
      </c>
    </row>
    <row r="119" spans="1:10" x14ac:dyDescent="0.3">
      <c r="A119" s="3" t="s">
        <v>428</v>
      </c>
      <c r="B119" t="str">
        <f>VLOOKUP(pmsurya[[#This Row],[state]],State!$A$2:$B$37,2,0)</f>
        <v xml:space="preserve"> Mizoram</v>
      </c>
      <c r="C119" t="s">
        <v>439</v>
      </c>
      <c r="D119" s="5">
        <v>2</v>
      </c>
      <c r="E119" s="5">
        <v>1</v>
      </c>
      <c r="F119" s="5">
        <v>1</v>
      </c>
      <c r="G119" s="5">
        <v>5</v>
      </c>
      <c r="H119" s="4">
        <v>0</v>
      </c>
      <c r="I119" s="5">
        <f>pmsurya[[#This Row],[applications]]-pmsurya[[#This Row],[installations]]</f>
        <v>1</v>
      </c>
      <c r="J119" s="6">
        <f>(pmsurya[[#This Row],[installations]]/pmsurya[[#This Row],[applications]])</f>
        <v>0.5</v>
      </c>
    </row>
    <row r="120" spans="1:10" x14ac:dyDescent="0.3">
      <c r="A120" s="3" t="s">
        <v>639</v>
      </c>
      <c r="B120" t="str">
        <f>VLOOKUP(pmsurya[[#This Row],[state]],State!$A$2:$B$37,2,0)</f>
        <v xml:space="preserve"> Tripura</v>
      </c>
      <c r="C120" t="s">
        <v>640</v>
      </c>
      <c r="D120" s="5">
        <v>708</v>
      </c>
      <c r="E120" s="5">
        <v>116</v>
      </c>
      <c r="F120" s="5">
        <v>116</v>
      </c>
      <c r="G120" s="5">
        <v>362</v>
      </c>
      <c r="H120" s="4">
        <v>8461926</v>
      </c>
      <c r="I120" s="5">
        <f>pmsurya[[#This Row],[applications]]-pmsurya[[#This Row],[installations]]</f>
        <v>592</v>
      </c>
      <c r="J120" s="6">
        <f>(pmsurya[[#This Row],[installations]]/pmsurya[[#This Row],[applications]])</f>
        <v>0.16384180790960451</v>
      </c>
    </row>
    <row r="121" spans="1:10" x14ac:dyDescent="0.3">
      <c r="A121" s="3" t="s">
        <v>639</v>
      </c>
      <c r="B121" t="str">
        <f>VLOOKUP(pmsurya[[#This Row],[state]],State!$A$2:$B$37,2,0)</f>
        <v xml:space="preserve"> Tripura</v>
      </c>
      <c r="C121" t="s">
        <v>641</v>
      </c>
      <c r="D121" s="5">
        <v>1031</v>
      </c>
      <c r="E121" s="5">
        <v>341</v>
      </c>
      <c r="F121" s="5">
        <v>341</v>
      </c>
      <c r="G121" s="5">
        <v>1106</v>
      </c>
      <c r="H121" s="4">
        <v>23007336</v>
      </c>
      <c r="I121" s="5">
        <f>pmsurya[[#This Row],[applications]]-pmsurya[[#This Row],[installations]]</f>
        <v>690</v>
      </c>
      <c r="J121" s="6">
        <f>(pmsurya[[#This Row],[installations]]/pmsurya[[#This Row],[applications]])</f>
        <v>0.33074684772065954</v>
      </c>
    </row>
    <row r="122" spans="1:10" x14ac:dyDescent="0.3">
      <c r="A122" s="3" t="s">
        <v>639</v>
      </c>
      <c r="B122" t="str">
        <f>VLOOKUP(pmsurya[[#This Row],[state]],State!$A$2:$B$37,2,0)</f>
        <v xml:space="preserve"> Tripura</v>
      </c>
      <c r="C122" t="s">
        <v>642</v>
      </c>
      <c r="D122" s="5">
        <v>253</v>
      </c>
      <c r="E122" s="5">
        <v>109</v>
      </c>
      <c r="F122" s="5">
        <v>109</v>
      </c>
      <c r="G122" s="5">
        <v>353</v>
      </c>
      <c r="H122" s="4">
        <v>8056026</v>
      </c>
      <c r="I122" s="5">
        <f>pmsurya[[#This Row],[applications]]-pmsurya[[#This Row],[installations]]</f>
        <v>144</v>
      </c>
      <c r="J122" s="6">
        <f>(pmsurya[[#This Row],[installations]]/pmsurya[[#This Row],[applications]])</f>
        <v>0.43083003952569171</v>
      </c>
    </row>
    <row r="123" spans="1:10" x14ac:dyDescent="0.3">
      <c r="A123" s="3" t="s">
        <v>639</v>
      </c>
      <c r="B123" t="str">
        <f>VLOOKUP(pmsurya[[#This Row],[state]],State!$A$2:$B$37,2,0)</f>
        <v xml:space="preserve"> Tripura</v>
      </c>
      <c r="C123" t="s">
        <v>643</v>
      </c>
      <c r="D123" s="5">
        <v>810</v>
      </c>
      <c r="E123" s="5">
        <v>132</v>
      </c>
      <c r="F123" s="5">
        <v>132</v>
      </c>
      <c r="G123" s="5">
        <v>429</v>
      </c>
      <c r="H123" s="4">
        <v>8605476</v>
      </c>
      <c r="I123" s="5">
        <f>pmsurya[[#This Row],[applications]]-pmsurya[[#This Row],[installations]]</f>
        <v>678</v>
      </c>
      <c r="J123" s="6">
        <f>(pmsurya[[#This Row],[installations]]/pmsurya[[#This Row],[applications]])</f>
        <v>0.16296296296296298</v>
      </c>
    </row>
    <row r="124" spans="1:10" x14ac:dyDescent="0.3">
      <c r="A124" s="3" t="s">
        <v>639</v>
      </c>
      <c r="B124" t="str">
        <f>VLOOKUP(pmsurya[[#This Row],[state]],State!$A$2:$B$37,2,0)</f>
        <v xml:space="preserve"> Tripura</v>
      </c>
      <c r="C124" t="s">
        <v>644</v>
      </c>
      <c r="D124" s="5">
        <v>594</v>
      </c>
      <c r="E124" s="5">
        <v>262</v>
      </c>
      <c r="F124" s="5">
        <v>262</v>
      </c>
      <c r="G124" s="5">
        <v>852</v>
      </c>
      <c r="H124" s="4">
        <v>18749940</v>
      </c>
      <c r="I124" s="5">
        <f>pmsurya[[#This Row],[applications]]-pmsurya[[#This Row],[installations]]</f>
        <v>332</v>
      </c>
      <c r="J124" s="6">
        <f>(pmsurya[[#This Row],[installations]]/pmsurya[[#This Row],[applications]])</f>
        <v>0.44107744107744107</v>
      </c>
    </row>
    <row r="125" spans="1:10" x14ac:dyDescent="0.3">
      <c r="A125" s="3" t="s">
        <v>639</v>
      </c>
      <c r="B125" t="str">
        <f>VLOOKUP(pmsurya[[#This Row],[state]],State!$A$2:$B$37,2,0)</f>
        <v xml:space="preserve"> Tripura</v>
      </c>
      <c r="C125" t="s">
        <v>645</v>
      </c>
      <c r="D125" s="5">
        <v>784</v>
      </c>
      <c r="E125" s="5">
        <v>363</v>
      </c>
      <c r="F125" s="5">
        <v>363</v>
      </c>
      <c r="G125" s="5">
        <v>1139</v>
      </c>
      <c r="H125" s="4">
        <v>24666180</v>
      </c>
      <c r="I125" s="5">
        <f>pmsurya[[#This Row],[applications]]-pmsurya[[#This Row],[installations]]</f>
        <v>421</v>
      </c>
      <c r="J125" s="6">
        <f>(pmsurya[[#This Row],[installations]]/pmsurya[[#This Row],[applications]])</f>
        <v>0.46301020408163263</v>
      </c>
    </row>
    <row r="126" spans="1:10" x14ac:dyDescent="0.3">
      <c r="A126" s="3" t="s">
        <v>639</v>
      </c>
      <c r="B126" t="str">
        <f>VLOOKUP(pmsurya[[#This Row],[state]],State!$A$2:$B$37,2,0)</f>
        <v xml:space="preserve"> Tripura</v>
      </c>
      <c r="C126" t="s">
        <v>646</v>
      </c>
      <c r="D126" s="5">
        <v>571</v>
      </c>
      <c r="E126" s="5">
        <v>163</v>
      </c>
      <c r="F126" s="5">
        <v>163</v>
      </c>
      <c r="G126" s="5">
        <v>509</v>
      </c>
      <c r="H126" s="4">
        <v>10176804</v>
      </c>
      <c r="I126" s="5">
        <f>pmsurya[[#This Row],[applications]]-pmsurya[[#This Row],[installations]]</f>
        <v>408</v>
      </c>
      <c r="J126" s="6">
        <f>(pmsurya[[#This Row],[installations]]/pmsurya[[#This Row],[applications]])</f>
        <v>0.28546409807355516</v>
      </c>
    </row>
    <row r="127" spans="1:10" x14ac:dyDescent="0.3">
      <c r="A127" s="3" t="s">
        <v>639</v>
      </c>
      <c r="B127" t="str">
        <f>VLOOKUP(pmsurya[[#This Row],[state]],State!$A$2:$B$37,2,0)</f>
        <v xml:space="preserve"> Tripura</v>
      </c>
      <c r="C127" t="s">
        <v>647</v>
      </c>
      <c r="D127" s="5">
        <v>4366</v>
      </c>
      <c r="E127" s="5">
        <v>2354</v>
      </c>
      <c r="F127" s="5">
        <v>2365</v>
      </c>
      <c r="G127" s="5">
        <v>8404</v>
      </c>
      <c r="H127" s="4">
        <v>178340283</v>
      </c>
      <c r="I127" s="5">
        <f>pmsurya[[#This Row],[applications]]-pmsurya[[#This Row],[installations]]</f>
        <v>2012</v>
      </c>
      <c r="J127" s="6">
        <f>(pmsurya[[#This Row],[installations]]/pmsurya[[#This Row],[applications]])</f>
        <v>0.53916628492899676</v>
      </c>
    </row>
    <row r="128" spans="1:10" x14ac:dyDescent="0.3">
      <c r="A128" s="3" t="s">
        <v>415</v>
      </c>
      <c r="B128" t="str">
        <f>VLOOKUP(pmsurya[[#This Row],[state]],State!$A$2:$B$37,2,0)</f>
        <v xml:space="preserve"> Meghalaya</v>
      </c>
      <c r="C128" t="s">
        <v>416</v>
      </c>
      <c r="D128" s="5">
        <v>5</v>
      </c>
      <c r="E128" s="5">
        <v>0</v>
      </c>
      <c r="F128" s="5">
        <v>0</v>
      </c>
      <c r="G128" s="5">
        <v>0</v>
      </c>
      <c r="H128" s="4">
        <v>0</v>
      </c>
      <c r="I128" s="5">
        <f>pmsurya[[#This Row],[applications]]-pmsurya[[#This Row],[installations]]</f>
        <v>5</v>
      </c>
      <c r="J128" s="6">
        <f>(pmsurya[[#This Row],[installations]]/pmsurya[[#This Row],[applications]])</f>
        <v>0</v>
      </c>
    </row>
    <row r="129" spans="1:10" x14ac:dyDescent="0.3">
      <c r="A129" s="3" t="s">
        <v>415</v>
      </c>
      <c r="B129" t="str">
        <f>VLOOKUP(pmsurya[[#This Row],[state]],State!$A$2:$B$37,2,0)</f>
        <v xml:space="preserve"> Meghalaya</v>
      </c>
      <c r="C129" t="s">
        <v>417</v>
      </c>
      <c r="D129" s="5">
        <v>25</v>
      </c>
      <c r="E129" s="5">
        <v>0</v>
      </c>
      <c r="F129" s="5">
        <v>0</v>
      </c>
      <c r="G129" s="5">
        <v>0</v>
      </c>
      <c r="H129" s="4">
        <v>0</v>
      </c>
      <c r="I129" s="5">
        <f>pmsurya[[#This Row],[applications]]-pmsurya[[#This Row],[installations]]</f>
        <v>25</v>
      </c>
      <c r="J129" s="6">
        <f>(pmsurya[[#This Row],[installations]]/pmsurya[[#This Row],[applications]])</f>
        <v>0</v>
      </c>
    </row>
    <row r="130" spans="1:10" x14ac:dyDescent="0.3">
      <c r="A130" s="3" t="s">
        <v>415</v>
      </c>
      <c r="B130" t="str">
        <f>VLOOKUP(pmsurya[[#This Row],[state]],State!$A$2:$B$37,2,0)</f>
        <v xml:space="preserve"> Meghalaya</v>
      </c>
      <c r="C130" t="s">
        <v>418</v>
      </c>
      <c r="D130" s="5">
        <v>12</v>
      </c>
      <c r="E130" s="5">
        <v>1</v>
      </c>
      <c r="F130" s="5">
        <v>1</v>
      </c>
      <c r="G130" s="5">
        <v>1</v>
      </c>
      <c r="H130" s="4">
        <v>34980</v>
      </c>
      <c r="I130" s="5">
        <f>pmsurya[[#This Row],[applications]]-pmsurya[[#This Row],[installations]]</f>
        <v>11</v>
      </c>
      <c r="J130" s="6">
        <f>(pmsurya[[#This Row],[installations]]/pmsurya[[#This Row],[applications]])</f>
        <v>8.3333333333333329E-2</v>
      </c>
    </row>
    <row r="131" spans="1:10" x14ac:dyDescent="0.3">
      <c r="A131" s="3" t="s">
        <v>415</v>
      </c>
      <c r="B131" t="str">
        <f>VLOOKUP(pmsurya[[#This Row],[state]],State!$A$2:$B$37,2,0)</f>
        <v xml:space="preserve"> Meghalaya</v>
      </c>
      <c r="C131" t="s">
        <v>419</v>
      </c>
      <c r="D131" s="5">
        <v>99</v>
      </c>
      <c r="E131" s="5">
        <v>22</v>
      </c>
      <c r="F131" s="5">
        <v>22</v>
      </c>
      <c r="G131" s="5">
        <v>93</v>
      </c>
      <c r="H131" s="4">
        <v>1526019</v>
      </c>
      <c r="I131" s="5">
        <f>pmsurya[[#This Row],[applications]]-pmsurya[[#This Row],[installations]]</f>
        <v>77</v>
      </c>
      <c r="J131" s="6">
        <f>(pmsurya[[#This Row],[installations]]/pmsurya[[#This Row],[applications]])</f>
        <v>0.22222222222222221</v>
      </c>
    </row>
    <row r="132" spans="1:10" x14ac:dyDescent="0.3">
      <c r="A132" s="3" t="s">
        <v>415</v>
      </c>
      <c r="B132" t="str">
        <f>VLOOKUP(pmsurya[[#This Row],[state]],State!$A$2:$B$37,2,0)</f>
        <v xml:space="preserve"> Meghalaya</v>
      </c>
      <c r="C132" t="s">
        <v>420</v>
      </c>
      <c r="D132" s="5">
        <v>238</v>
      </c>
      <c r="E132" s="5">
        <v>6</v>
      </c>
      <c r="F132" s="5">
        <v>6</v>
      </c>
      <c r="G132" s="5">
        <v>17</v>
      </c>
      <c r="H132" s="4">
        <v>206580</v>
      </c>
      <c r="I132" s="5">
        <f>pmsurya[[#This Row],[applications]]-pmsurya[[#This Row],[installations]]</f>
        <v>232</v>
      </c>
      <c r="J132" s="6">
        <f>(pmsurya[[#This Row],[installations]]/pmsurya[[#This Row],[applications]])</f>
        <v>2.5210084033613446E-2</v>
      </c>
    </row>
    <row r="133" spans="1:10" x14ac:dyDescent="0.3">
      <c r="A133" s="3" t="s">
        <v>415</v>
      </c>
      <c r="B133" t="str">
        <f>VLOOKUP(pmsurya[[#This Row],[state]],State!$A$2:$B$37,2,0)</f>
        <v xml:space="preserve"> Meghalaya</v>
      </c>
      <c r="C133" t="s">
        <v>421</v>
      </c>
      <c r="D133" s="5">
        <v>54</v>
      </c>
      <c r="E133" s="5">
        <v>2</v>
      </c>
      <c r="F133" s="5">
        <v>9247</v>
      </c>
      <c r="G133" s="5">
        <v>10</v>
      </c>
      <c r="H133" s="4">
        <v>34980</v>
      </c>
      <c r="I133" s="5">
        <f>pmsurya[[#This Row],[applications]]-pmsurya[[#This Row],[installations]]</f>
        <v>52</v>
      </c>
      <c r="J133" s="6">
        <f>(pmsurya[[#This Row],[installations]]/pmsurya[[#This Row],[applications]])</f>
        <v>3.7037037037037035E-2</v>
      </c>
    </row>
    <row r="134" spans="1:10" x14ac:dyDescent="0.3">
      <c r="A134" s="3" t="s">
        <v>415</v>
      </c>
      <c r="B134" t="str">
        <f>VLOOKUP(pmsurya[[#This Row],[state]],State!$A$2:$B$37,2,0)</f>
        <v xml:space="preserve"> Meghalaya</v>
      </c>
      <c r="C134" t="s">
        <v>422</v>
      </c>
      <c r="D134" s="5">
        <v>367</v>
      </c>
      <c r="E134" s="5">
        <v>0</v>
      </c>
      <c r="F134" s="5">
        <v>0</v>
      </c>
      <c r="G134" s="5">
        <v>0</v>
      </c>
      <c r="H134" s="4">
        <v>0</v>
      </c>
      <c r="I134" s="5">
        <f>pmsurya[[#This Row],[applications]]-pmsurya[[#This Row],[installations]]</f>
        <v>367</v>
      </c>
      <c r="J134" s="6">
        <f>(pmsurya[[#This Row],[installations]]/pmsurya[[#This Row],[applications]])</f>
        <v>0</v>
      </c>
    </row>
    <row r="135" spans="1:10" x14ac:dyDescent="0.3">
      <c r="A135" s="3" t="s">
        <v>415</v>
      </c>
      <c r="B135" t="str">
        <f>VLOOKUP(pmsurya[[#This Row],[state]],State!$A$2:$B$37,2,0)</f>
        <v xml:space="preserve"> Meghalaya</v>
      </c>
      <c r="C135" t="s">
        <v>423</v>
      </c>
      <c r="D135" s="5">
        <v>148</v>
      </c>
      <c r="E135" s="5">
        <v>4</v>
      </c>
      <c r="F135" s="5">
        <v>4</v>
      </c>
      <c r="G135" s="5">
        <v>6</v>
      </c>
      <c r="H135" s="4">
        <v>155760</v>
      </c>
      <c r="I135" s="5">
        <f>pmsurya[[#This Row],[applications]]-pmsurya[[#This Row],[installations]]</f>
        <v>144</v>
      </c>
      <c r="J135" s="6">
        <f>(pmsurya[[#This Row],[installations]]/pmsurya[[#This Row],[applications]])</f>
        <v>2.7027027027027029E-2</v>
      </c>
    </row>
    <row r="136" spans="1:10" x14ac:dyDescent="0.3">
      <c r="A136" s="3" t="s">
        <v>415</v>
      </c>
      <c r="B136" t="str">
        <f>VLOOKUP(pmsurya[[#This Row],[state]],State!$A$2:$B$37,2,0)</f>
        <v xml:space="preserve"> Meghalaya</v>
      </c>
      <c r="C136" t="s">
        <v>424</v>
      </c>
      <c r="D136" s="5">
        <v>4</v>
      </c>
      <c r="E136" s="5">
        <v>0</v>
      </c>
      <c r="F136" s="5">
        <v>0</v>
      </c>
      <c r="G136" s="5">
        <v>0</v>
      </c>
      <c r="H136" s="4">
        <v>0</v>
      </c>
      <c r="I136" s="5">
        <f>pmsurya[[#This Row],[applications]]-pmsurya[[#This Row],[installations]]</f>
        <v>4</v>
      </c>
      <c r="J136" s="6">
        <f>(pmsurya[[#This Row],[installations]]/pmsurya[[#This Row],[applications]])</f>
        <v>0</v>
      </c>
    </row>
    <row r="137" spans="1:10" x14ac:dyDescent="0.3">
      <c r="A137" s="3" t="s">
        <v>415</v>
      </c>
      <c r="B137" t="str">
        <f>VLOOKUP(pmsurya[[#This Row],[state]],State!$A$2:$B$37,2,0)</f>
        <v xml:space="preserve"> Meghalaya</v>
      </c>
      <c r="C137" t="s">
        <v>425</v>
      </c>
      <c r="D137" s="5">
        <v>505</v>
      </c>
      <c r="E137" s="5">
        <v>2</v>
      </c>
      <c r="F137" s="5">
        <v>2</v>
      </c>
      <c r="G137" s="5">
        <v>5</v>
      </c>
      <c r="H137" s="4">
        <v>120780</v>
      </c>
      <c r="I137" s="5">
        <f>pmsurya[[#This Row],[applications]]-pmsurya[[#This Row],[installations]]</f>
        <v>503</v>
      </c>
      <c r="J137" s="6">
        <f>(pmsurya[[#This Row],[installations]]/pmsurya[[#This Row],[applications]])</f>
        <v>3.9603960396039604E-3</v>
      </c>
    </row>
    <row r="138" spans="1:10" x14ac:dyDescent="0.3">
      <c r="A138" s="3" t="s">
        <v>415</v>
      </c>
      <c r="B138" t="str">
        <f>VLOOKUP(pmsurya[[#This Row],[state]],State!$A$2:$B$37,2,0)</f>
        <v xml:space="preserve"> Meghalaya</v>
      </c>
      <c r="C138" t="s">
        <v>426</v>
      </c>
      <c r="D138" s="5">
        <v>36</v>
      </c>
      <c r="E138" s="5">
        <v>16</v>
      </c>
      <c r="F138" s="5">
        <v>16</v>
      </c>
      <c r="G138" s="5">
        <v>27</v>
      </c>
      <c r="H138" s="4">
        <v>809952</v>
      </c>
      <c r="I138" s="5">
        <f>pmsurya[[#This Row],[applications]]-pmsurya[[#This Row],[installations]]</f>
        <v>20</v>
      </c>
      <c r="J138" s="6">
        <f>(pmsurya[[#This Row],[installations]]/pmsurya[[#This Row],[applications]])</f>
        <v>0.44444444444444442</v>
      </c>
    </row>
    <row r="139" spans="1:10" x14ac:dyDescent="0.3">
      <c r="A139" s="3" t="s">
        <v>415</v>
      </c>
      <c r="B139" t="str">
        <f>VLOOKUP(pmsurya[[#This Row],[state]],State!$A$2:$B$37,2,0)</f>
        <v xml:space="preserve"> Meghalaya</v>
      </c>
      <c r="C139" t="s">
        <v>427</v>
      </c>
      <c r="D139" s="5">
        <v>25</v>
      </c>
      <c r="E139" s="5">
        <v>1</v>
      </c>
      <c r="F139" s="5">
        <v>1</v>
      </c>
      <c r="G139" s="5">
        <v>2</v>
      </c>
      <c r="H139" s="4">
        <v>68376</v>
      </c>
      <c r="I139" s="5">
        <f>pmsurya[[#This Row],[applications]]-pmsurya[[#This Row],[installations]]</f>
        <v>24</v>
      </c>
      <c r="J139" s="6">
        <f>(pmsurya[[#This Row],[installations]]/pmsurya[[#This Row],[applications]])</f>
        <v>0.04</v>
      </c>
    </row>
    <row r="140" spans="1:10" x14ac:dyDescent="0.3">
      <c r="A140" s="3" t="s">
        <v>52</v>
      </c>
      <c r="B140" t="str">
        <f>VLOOKUP(pmsurya[[#This Row],[state]],State!$A$2:$B$37,2,0)</f>
        <v xml:space="preserve"> Assam</v>
      </c>
      <c r="C140" t="s">
        <v>53</v>
      </c>
      <c r="D140" s="5">
        <v>1515</v>
      </c>
      <c r="E140" s="5">
        <v>597</v>
      </c>
      <c r="F140" s="5">
        <v>597</v>
      </c>
      <c r="G140" s="5">
        <v>1945</v>
      </c>
      <c r="H140" s="4">
        <v>47150796</v>
      </c>
      <c r="I140" s="5">
        <f>pmsurya[[#This Row],[applications]]-pmsurya[[#This Row],[installations]]</f>
        <v>918</v>
      </c>
      <c r="J140" s="6">
        <f>(pmsurya[[#This Row],[installations]]/pmsurya[[#This Row],[applications]])</f>
        <v>0.39405940594059408</v>
      </c>
    </row>
    <row r="141" spans="1:10" x14ac:dyDescent="0.3">
      <c r="A141" s="3" t="s">
        <v>52</v>
      </c>
      <c r="B141" t="str">
        <f>VLOOKUP(pmsurya[[#This Row],[state]],State!$A$2:$B$37,2,0)</f>
        <v xml:space="preserve"> Assam</v>
      </c>
      <c r="C141" t="s">
        <v>54</v>
      </c>
      <c r="D141" s="5">
        <v>26515</v>
      </c>
      <c r="E141" s="5">
        <v>8982</v>
      </c>
      <c r="F141" s="5">
        <v>8982</v>
      </c>
      <c r="G141" s="5">
        <v>29196</v>
      </c>
      <c r="H141" s="4">
        <v>641546895</v>
      </c>
      <c r="I141" s="5">
        <f>pmsurya[[#This Row],[applications]]-pmsurya[[#This Row],[installations]]</f>
        <v>17533</v>
      </c>
      <c r="J141" s="6">
        <f>(pmsurya[[#This Row],[installations]]/pmsurya[[#This Row],[applications]])</f>
        <v>0.33875165000942864</v>
      </c>
    </row>
    <row r="142" spans="1:10" x14ac:dyDescent="0.3">
      <c r="A142" s="3" t="s">
        <v>52</v>
      </c>
      <c r="B142" t="str">
        <f>VLOOKUP(pmsurya[[#This Row],[state]],State!$A$2:$B$37,2,0)</f>
        <v xml:space="preserve"> Assam</v>
      </c>
      <c r="C142" t="s">
        <v>55</v>
      </c>
      <c r="D142" s="5">
        <v>32164</v>
      </c>
      <c r="E142" s="5">
        <v>11411</v>
      </c>
      <c r="F142" s="5">
        <v>11411</v>
      </c>
      <c r="G142" s="5">
        <v>36839</v>
      </c>
      <c r="H142" s="4">
        <v>883855698</v>
      </c>
      <c r="I142" s="5">
        <f>pmsurya[[#This Row],[applications]]-pmsurya[[#This Row],[installations]]</f>
        <v>20753</v>
      </c>
      <c r="J142" s="6">
        <f>(pmsurya[[#This Row],[installations]]/pmsurya[[#This Row],[applications]])</f>
        <v>0.35477552543216018</v>
      </c>
    </row>
    <row r="143" spans="1:10" x14ac:dyDescent="0.3">
      <c r="A143" s="3" t="s">
        <v>52</v>
      </c>
      <c r="B143" t="str">
        <f>VLOOKUP(pmsurya[[#This Row],[state]],State!$A$2:$B$37,2,0)</f>
        <v xml:space="preserve"> Assam</v>
      </c>
      <c r="C143" t="s">
        <v>56</v>
      </c>
      <c r="D143" s="5">
        <v>8816</v>
      </c>
      <c r="E143" s="5">
        <v>3978</v>
      </c>
      <c r="F143" s="5">
        <v>3978</v>
      </c>
      <c r="G143" s="5">
        <v>13095</v>
      </c>
      <c r="H143" s="4">
        <v>305923332</v>
      </c>
      <c r="I143" s="5">
        <f>pmsurya[[#This Row],[applications]]-pmsurya[[#This Row],[installations]]</f>
        <v>4838</v>
      </c>
      <c r="J143" s="6">
        <f>(pmsurya[[#This Row],[installations]]/pmsurya[[#This Row],[applications]])</f>
        <v>0.45122504537205083</v>
      </c>
    </row>
    <row r="144" spans="1:10" x14ac:dyDescent="0.3">
      <c r="A144" s="3" t="s">
        <v>52</v>
      </c>
      <c r="B144" t="str">
        <f>VLOOKUP(pmsurya[[#This Row],[state]],State!$A$2:$B$37,2,0)</f>
        <v xml:space="preserve"> Assam</v>
      </c>
      <c r="C144" t="s">
        <v>57</v>
      </c>
      <c r="D144" s="5">
        <v>20917</v>
      </c>
      <c r="E144" s="5">
        <v>6290</v>
      </c>
      <c r="F144" s="5">
        <v>6290</v>
      </c>
      <c r="G144" s="5">
        <v>20654</v>
      </c>
      <c r="H144" s="4">
        <v>445709979</v>
      </c>
      <c r="I144" s="5">
        <f>pmsurya[[#This Row],[applications]]-pmsurya[[#This Row],[installations]]</f>
        <v>14627</v>
      </c>
      <c r="J144" s="6">
        <f>(pmsurya[[#This Row],[installations]]/pmsurya[[#This Row],[applications]])</f>
        <v>0.30071233924558971</v>
      </c>
    </row>
    <row r="145" spans="1:10" x14ac:dyDescent="0.3">
      <c r="A145" s="3" t="s">
        <v>52</v>
      </c>
      <c r="B145" t="str">
        <f>VLOOKUP(pmsurya[[#This Row],[state]],State!$A$2:$B$37,2,0)</f>
        <v xml:space="preserve"> Assam</v>
      </c>
      <c r="C145" t="s">
        <v>58</v>
      </c>
      <c r="D145" s="5">
        <v>9288</v>
      </c>
      <c r="E145" s="5">
        <v>2430</v>
      </c>
      <c r="F145" s="5">
        <v>2430</v>
      </c>
      <c r="G145" s="5">
        <v>8098</v>
      </c>
      <c r="H145" s="4">
        <v>168204960</v>
      </c>
      <c r="I145" s="5">
        <f>pmsurya[[#This Row],[applications]]-pmsurya[[#This Row],[installations]]</f>
        <v>6858</v>
      </c>
      <c r="J145" s="6">
        <f>(pmsurya[[#This Row],[installations]]/pmsurya[[#This Row],[applications]])</f>
        <v>0.26162790697674421</v>
      </c>
    </row>
    <row r="146" spans="1:10" x14ac:dyDescent="0.3">
      <c r="A146" s="3" t="s">
        <v>52</v>
      </c>
      <c r="B146" t="str">
        <f>VLOOKUP(pmsurya[[#This Row],[state]],State!$A$2:$B$37,2,0)</f>
        <v xml:space="preserve"> Assam</v>
      </c>
      <c r="C146" t="s">
        <v>59</v>
      </c>
      <c r="D146" s="5">
        <v>4832</v>
      </c>
      <c r="E146" s="5">
        <v>1877</v>
      </c>
      <c r="F146" s="5">
        <v>1877</v>
      </c>
      <c r="G146" s="5">
        <v>6306</v>
      </c>
      <c r="H146" s="4">
        <v>142714902</v>
      </c>
      <c r="I146" s="5">
        <f>pmsurya[[#This Row],[applications]]-pmsurya[[#This Row],[installations]]</f>
        <v>2955</v>
      </c>
      <c r="J146" s="6">
        <f>(pmsurya[[#This Row],[installations]]/pmsurya[[#This Row],[applications]])</f>
        <v>0.38845198675496689</v>
      </c>
    </row>
    <row r="147" spans="1:10" x14ac:dyDescent="0.3">
      <c r="A147" s="3" t="s">
        <v>52</v>
      </c>
      <c r="B147" t="str">
        <f>VLOOKUP(pmsurya[[#This Row],[state]],State!$A$2:$B$37,2,0)</f>
        <v xml:space="preserve"> Assam</v>
      </c>
      <c r="C147" t="s">
        <v>60</v>
      </c>
      <c r="D147" s="5">
        <v>5835</v>
      </c>
      <c r="E147" s="5">
        <v>1796</v>
      </c>
      <c r="F147" s="5">
        <v>1796</v>
      </c>
      <c r="G147" s="5">
        <v>5773</v>
      </c>
      <c r="H147" s="4">
        <v>131029503</v>
      </c>
      <c r="I147" s="5">
        <f>pmsurya[[#This Row],[applications]]-pmsurya[[#This Row],[installations]]</f>
        <v>4039</v>
      </c>
      <c r="J147" s="6">
        <f>(pmsurya[[#This Row],[installations]]/pmsurya[[#This Row],[applications]])</f>
        <v>0.30779777206512426</v>
      </c>
    </row>
    <row r="148" spans="1:10" x14ac:dyDescent="0.3">
      <c r="A148" s="3" t="s">
        <v>52</v>
      </c>
      <c r="B148" t="str">
        <f>VLOOKUP(pmsurya[[#This Row],[state]],State!$A$2:$B$37,2,0)</f>
        <v xml:space="preserve"> Assam</v>
      </c>
      <c r="C148" t="s">
        <v>61</v>
      </c>
      <c r="D148" s="5">
        <v>19253</v>
      </c>
      <c r="E148" s="5">
        <v>4452</v>
      </c>
      <c r="F148" s="5">
        <v>4452</v>
      </c>
      <c r="G148" s="5">
        <v>14330</v>
      </c>
      <c r="H148" s="4">
        <v>274538022</v>
      </c>
      <c r="I148" s="5">
        <f>pmsurya[[#This Row],[applications]]-pmsurya[[#This Row],[installations]]</f>
        <v>14801</v>
      </c>
      <c r="J148" s="6">
        <f>(pmsurya[[#This Row],[installations]]/pmsurya[[#This Row],[applications]])</f>
        <v>0.23123669038591388</v>
      </c>
    </row>
    <row r="149" spans="1:10" x14ac:dyDescent="0.3">
      <c r="A149" s="3" t="s">
        <v>52</v>
      </c>
      <c r="B149" t="str">
        <f>VLOOKUP(pmsurya[[#This Row],[state]],State!$A$2:$B$37,2,0)</f>
        <v xml:space="preserve"> Assam</v>
      </c>
      <c r="C149" t="s">
        <v>62</v>
      </c>
      <c r="D149" s="5">
        <v>11937</v>
      </c>
      <c r="E149" s="5">
        <v>4179</v>
      </c>
      <c r="F149" s="5">
        <v>4179</v>
      </c>
      <c r="G149" s="5">
        <v>13613</v>
      </c>
      <c r="H149" s="4">
        <v>312899334</v>
      </c>
      <c r="I149" s="5">
        <f>pmsurya[[#This Row],[applications]]-pmsurya[[#This Row],[installations]]</f>
        <v>7758</v>
      </c>
      <c r="J149" s="6">
        <f>(pmsurya[[#This Row],[installations]]/pmsurya[[#This Row],[applications]])</f>
        <v>0.35008796179944712</v>
      </c>
    </row>
    <row r="150" spans="1:10" x14ac:dyDescent="0.3">
      <c r="A150" s="3" t="s">
        <v>52</v>
      </c>
      <c r="B150" t="str">
        <f>VLOOKUP(pmsurya[[#This Row],[state]],State!$A$2:$B$37,2,0)</f>
        <v xml:space="preserve"> Assam</v>
      </c>
      <c r="C150" t="s">
        <v>63</v>
      </c>
      <c r="D150" s="5">
        <v>48095</v>
      </c>
      <c r="E150" s="5">
        <v>13451</v>
      </c>
      <c r="F150" s="5">
        <v>13453</v>
      </c>
      <c r="G150" s="5">
        <v>43325</v>
      </c>
      <c r="H150" s="4">
        <v>975667671</v>
      </c>
      <c r="I150" s="5">
        <f>pmsurya[[#This Row],[applications]]-pmsurya[[#This Row],[installations]]</f>
        <v>34644</v>
      </c>
      <c r="J150" s="6">
        <f>(pmsurya[[#This Row],[installations]]/pmsurya[[#This Row],[applications]])</f>
        <v>0.27967564195862354</v>
      </c>
    </row>
    <row r="151" spans="1:10" x14ac:dyDescent="0.3">
      <c r="A151" s="3" t="s">
        <v>52</v>
      </c>
      <c r="B151" t="str">
        <f>VLOOKUP(pmsurya[[#This Row],[state]],State!$A$2:$B$37,2,0)</f>
        <v xml:space="preserve"> Assam</v>
      </c>
      <c r="C151" t="s">
        <v>64</v>
      </c>
      <c r="D151" s="5">
        <v>5052</v>
      </c>
      <c r="E151" s="5">
        <v>1952</v>
      </c>
      <c r="F151" s="5">
        <v>1952</v>
      </c>
      <c r="G151" s="5">
        <v>6915</v>
      </c>
      <c r="H151" s="4">
        <v>142659693</v>
      </c>
      <c r="I151" s="5">
        <f>pmsurya[[#This Row],[applications]]-pmsurya[[#This Row],[installations]]</f>
        <v>3100</v>
      </c>
      <c r="J151" s="6">
        <f>(pmsurya[[#This Row],[installations]]/pmsurya[[#This Row],[applications]])</f>
        <v>0.38638163103721296</v>
      </c>
    </row>
    <row r="152" spans="1:10" x14ac:dyDescent="0.3">
      <c r="A152" s="3" t="s">
        <v>52</v>
      </c>
      <c r="B152" t="str">
        <f>VLOOKUP(pmsurya[[#This Row],[state]],State!$A$2:$B$37,2,0)</f>
        <v xml:space="preserve"> Assam</v>
      </c>
      <c r="C152" t="s">
        <v>65</v>
      </c>
      <c r="D152" s="5">
        <v>3583</v>
      </c>
      <c r="E152" s="5">
        <v>705</v>
      </c>
      <c r="F152" s="5">
        <v>705</v>
      </c>
      <c r="G152" s="5">
        <v>2096</v>
      </c>
      <c r="H152" s="4">
        <v>44380545</v>
      </c>
      <c r="I152" s="5">
        <f>pmsurya[[#This Row],[applications]]-pmsurya[[#This Row],[installations]]</f>
        <v>2878</v>
      </c>
      <c r="J152" s="6">
        <f>(pmsurya[[#This Row],[installations]]/pmsurya[[#This Row],[applications]])</f>
        <v>0.19676248953391012</v>
      </c>
    </row>
    <row r="153" spans="1:10" x14ac:dyDescent="0.3">
      <c r="A153" s="3" t="s">
        <v>52</v>
      </c>
      <c r="B153" t="str">
        <f>VLOOKUP(pmsurya[[#This Row],[state]],State!$A$2:$B$37,2,0)</f>
        <v xml:space="preserve"> Assam</v>
      </c>
      <c r="C153" t="s">
        <v>66</v>
      </c>
      <c r="D153" s="5">
        <v>17079</v>
      </c>
      <c r="E153" s="5">
        <v>6376</v>
      </c>
      <c r="F153" s="5">
        <v>6376</v>
      </c>
      <c r="G153" s="5">
        <v>20406</v>
      </c>
      <c r="H153" s="4">
        <v>473769846</v>
      </c>
      <c r="I153" s="5">
        <f>pmsurya[[#This Row],[applications]]-pmsurya[[#This Row],[installations]]</f>
        <v>10703</v>
      </c>
      <c r="J153" s="6">
        <f>(pmsurya[[#This Row],[installations]]/pmsurya[[#This Row],[applications]])</f>
        <v>0.37332396510334331</v>
      </c>
    </row>
    <row r="154" spans="1:10" x14ac:dyDescent="0.3">
      <c r="A154" s="3" t="s">
        <v>52</v>
      </c>
      <c r="B154" t="str">
        <f>VLOOKUP(pmsurya[[#This Row],[state]],State!$A$2:$B$37,2,0)</f>
        <v xml:space="preserve"> Assam</v>
      </c>
      <c r="C154" t="s">
        <v>67</v>
      </c>
      <c r="D154" s="5">
        <v>13121</v>
      </c>
      <c r="E154" s="5">
        <v>4342</v>
      </c>
      <c r="F154" s="5">
        <v>4591</v>
      </c>
      <c r="G154" s="5">
        <v>14504</v>
      </c>
      <c r="H154" s="4">
        <v>304412328</v>
      </c>
      <c r="I154" s="5">
        <f>pmsurya[[#This Row],[applications]]-pmsurya[[#This Row],[installations]]</f>
        <v>8779</v>
      </c>
      <c r="J154" s="6">
        <f>(pmsurya[[#This Row],[installations]]/pmsurya[[#This Row],[applications]])</f>
        <v>0.33091989939791172</v>
      </c>
    </row>
    <row r="155" spans="1:10" x14ac:dyDescent="0.3">
      <c r="A155" s="3" t="s">
        <v>52</v>
      </c>
      <c r="B155" t="str">
        <f>VLOOKUP(pmsurya[[#This Row],[state]],State!$A$2:$B$37,2,0)</f>
        <v xml:space="preserve"> Assam</v>
      </c>
      <c r="C155" t="s">
        <v>68</v>
      </c>
      <c r="D155" s="5">
        <v>5352</v>
      </c>
      <c r="E155" s="5">
        <v>997</v>
      </c>
      <c r="F155" s="5">
        <v>997</v>
      </c>
      <c r="G155" s="5">
        <v>3189</v>
      </c>
      <c r="H155" s="4">
        <v>67132956</v>
      </c>
      <c r="I155" s="5">
        <f>pmsurya[[#This Row],[applications]]-pmsurya[[#This Row],[installations]]</f>
        <v>4355</v>
      </c>
      <c r="J155" s="6">
        <f>(pmsurya[[#This Row],[installations]]/pmsurya[[#This Row],[applications]])</f>
        <v>0.18628550074738415</v>
      </c>
    </row>
    <row r="156" spans="1:10" x14ac:dyDescent="0.3">
      <c r="A156" s="3" t="s">
        <v>52</v>
      </c>
      <c r="B156" t="str">
        <f>VLOOKUP(pmsurya[[#This Row],[state]],State!$A$2:$B$37,2,0)</f>
        <v xml:space="preserve"> Assam</v>
      </c>
      <c r="C156" t="s">
        <v>69</v>
      </c>
      <c r="D156" s="5">
        <v>24456</v>
      </c>
      <c r="E156" s="5">
        <v>7330</v>
      </c>
      <c r="F156" s="5">
        <v>7356</v>
      </c>
      <c r="G156" s="5">
        <v>23469</v>
      </c>
      <c r="H156" s="4">
        <v>533757543</v>
      </c>
      <c r="I156" s="5">
        <f>pmsurya[[#This Row],[applications]]-pmsurya[[#This Row],[installations]]</f>
        <v>17126</v>
      </c>
      <c r="J156" s="6">
        <f>(pmsurya[[#This Row],[installations]]/pmsurya[[#This Row],[applications]])</f>
        <v>0.29972194962381421</v>
      </c>
    </row>
    <row r="157" spans="1:10" x14ac:dyDescent="0.3">
      <c r="A157" s="3" t="s">
        <v>52</v>
      </c>
      <c r="B157" t="str">
        <f>VLOOKUP(pmsurya[[#This Row],[state]],State!$A$2:$B$37,2,0)</f>
        <v xml:space="preserve"> Assam</v>
      </c>
      <c r="C157" t="s">
        <v>70</v>
      </c>
      <c r="D157" s="5">
        <v>11783</v>
      </c>
      <c r="E157" s="5">
        <v>6419</v>
      </c>
      <c r="F157" s="5">
        <v>6419</v>
      </c>
      <c r="G157" s="5">
        <v>22035</v>
      </c>
      <c r="H157" s="4">
        <v>504379557</v>
      </c>
      <c r="I157" s="5">
        <f>pmsurya[[#This Row],[applications]]-pmsurya[[#This Row],[installations]]</f>
        <v>5364</v>
      </c>
      <c r="J157" s="6">
        <f>(pmsurya[[#This Row],[installations]]/pmsurya[[#This Row],[applications]])</f>
        <v>0.54476788593736736</v>
      </c>
    </row>
    <row r="158" spans="1:10" x14ac:dyDescent="0.3">
      <c r="A158" s="3" t="s">
        <v>52</v>
      </c>
      <c r="B158" t="str">
        <f>VLOOKUP(pmsurya[[#This Row],[state]],State!$A$2:$B$37,2,0)</f>
        <v xml:space="preserve"> Assam</v>
      </c>
      <c r="C158" t="s">
        <v>71</v>
      </c>
      <c r="D158" s="5">
        <v>13856</v>
      </c>
      <c r="E158" s="5">
        <v>3781</v>
      </c>
      <c r="F158" s="5">
        <v>3781</v>
      </c>
      <c r="G158" s="5">
        <v>12343</v>
      </c>
      <c r="H158" s="4">
        <v>269478693</v>
      </c>
      <c r="I158" s="5">
        <f>pmsurya[[#This Row],[applications]]-pmsurya[[#This Row],[installations]]</f>
        <v>10075</v>
      </c>
      <c r="J158" s="6">
        <f>(pmsurya[[#This Row],[installations]]/pmsurya[[#This Row],[applications]])</f>
        <v>0.27287817551963051</v>
      </c>
    </row>
    <row r="159" spans="1:10" x14ac:dyDescent="0.3">
      <c r="A159" s="3" t="s">
        <v>52</v>
      </c>
      <c r="B159" t="str">
        <f>VLOOKUP(pmsurya[[#This Row],[state]],State!$A$2:$B$37,2,0)</f>
        <v xml:space="preserve"> Assam</v>
      </c>
      <c r="C159" t="s">
        <v>72</v>
      </c>
      <c r="D159" s="5">
        <v>12136</v>
      </c>
      <c r="E159" s="5">
        <v>5489</v>
      </c>
      <c r="F159" s="5">
        <v>5598</v>
      </c>
      <c r="G159" s="5">
        <v>22259</v>
      </c>
      <c r="H159" s="4">
        <v>412679058</v>
      </c>
      <c r="I159" s="5">
        <f>pmsurya[[#This Row],[applications]]-pmsurya[[#This Row],[installations]]</f>
        <v>6647</v>
      </c>
      <c r="J159" s="6">
        <f>(pmsurya[[#This Row],[installations]]/pmsurya[[#This Row],[applications]])</f>
        <v>0.45229070533948584</v>
      </c>
    </row>
    <row r="160" spans="1:10" x14ac:dyDescent="0.3">
      <c r="A160" s="3" t="s">
        <v>52</v>
      </c>
      <c r="B160" t="str">
        <f>VLOOKUP(pmsurya[[#This Row],[state]],State!$A$2:$B$37,2,0)</f>
        <v xml:space="preserve"> Assam</v>
      </c>
      <c r="C160" t="s">
        <v>73</v>
      </c>
      <c r="D160" s="5">
        <v>14174</v>
      </c>
      <c r="E160" s="5">
        <v>3137</v>
      </c>
      <c r="F160" s="5">
        <v>3137</v>
      </c>
      <c r="G160" s="5">
        <v>10094</v>
      </c>
      <c r="H160" s="4">
        <v>203342634</v>
      </c>
      <c r="I160" s="5">
        <f>pmsurya[[#This Row],[applications]]-pmsurya[[#This Row],[installations]]</f>
        <v>11037</v>
      </c>
      <c r="J160" s="6">
        <f>(pmsurya[[#This Row],[installations]]/pmsurya[[#This Row],[applications]])</f>
        <v>0.22132072809369269</v>
      </c>
    </row>
    <row r="161" spans="1:10" x14ac:dyDescent="0.3">
      <c r="A161" s="3" t="s">
        <v>52</v>
      </c>
      <c r="B161" t="str">
        <f>VLOOKUP(pmsurya[[#This Row],[state]],State!$A$2:$B$37,2,0)</f>
        <v xml:space="preserve"> Assam</v>
      </c>
      <c r="C161" t="s">
        <v>74</v>
      </c>
      <c r="D161" s="5">
        <v>6004</v>
      </c>
      <c r="E161" s="5">
        <v>1672</v>
      </c>
      <c r="F161" s="5">
        <v>1849</v>
      </c>
      <c r="G161" s="5">
        <v>5365</v>
      </c>
      <c r="H161" s="4">
        <v>123607341</v>
      </c>
      <c r="I161" s="5">
        <f>pmsurya[[#This Row],[applications]]-pmsurya[[#This Row],[installations]]</f>
        <v>4332</v>
      </c>
      <c r="J161" s="6">
        <f>(pmsurya[[#This Row],[installations]]/pmsurya[[#This Row],[applications]])</f>
        <v>0.27848101265822783</v>
      </c>
    </row>
    <row r="162" spans="1:10" x14ac:dyDescent="0.3">
      <c r="A162" s="3" t="s">
        <v>52</v>
      </c>
      <c r="B162" t="str">
        <f>VLOOKUP(pmsurya[[#This Row],[state]],State!$A$2:$B$37,2,0)</f>
        <v xml:space="preserve"> Assam</v>
      </c>
      <c r="C162" t="s">
        <v>75</v>
      </c>
      <c r="D162" s="5">
        <v>12438</v>
      </c>
      <c r="E162" s="5">
        <v>4197</v>
      </c>
      <c r="F162" s="5">
        <v>4197</v>
      </c>
      <c r="G162" s="5">
        <v>13735</v>
      </c>
      <c r="H162" s="4">
        <v>315141420</v>
      </c>
      <c r="I162" s="5">
        <f>pmsurya[[#This Row],[applications]]-pmsurya[[#This Row],[installations]]</f>
        <v>8241</v>
      </c>
      <c r="J162" s="6">
        <f>(pmsurya[[#This Row],[installations]]/pmsurya[[#This Row],[applications]])</f>
        <v>0.33743367100820065</v>
      </c>
    </row>
    <row r="163" spans="1:10" x14ac:dyDescent="0.3">
      <c r="A163" s="3" t="s">
        <v>52</v>
      </c>
      <c r="B163" t="str">
        <f>VLOOKUP(pmsurya[[#This Row],[state]],State!$A$2:$B$37,2,0)</f>
        <v xml:space="preserve"> Assam</v>
      </c>
      <c r="C163" t="s">
        <v>76</v>
      </c>
      <c r="D163" s="5">
        <v>18216</v>
      </c>
      <c r="E163" s="5">
        <v>6539</v>
      </c>
      <c r="F163" s="5">
        <v>6539</v>
      </c>
      <c r="G163" s="5">
        <v>21019</v>
      </c>
      <c r="H163" s="4">
        <v>482273187</v>
      </c>
      <c r="I163" s="5">
        <f>pmsurya[[#This Row],[applications]]-pmsurya[[#This Row],[installations]]</f>
        <v>11677</v>
      </c>
      <c r="J163" s="6">
        <f>(pmsurya[[#This Row],[installations]]/pmsurya[[#This Row],[applications]])</f>
        <v>0.35897013614404921</v>
      </c>
    </row>
    <row r="164" spans="1:10" x14ac:dyDescent="0.3">
      <c r="A164" s="3" t="s">
        <v>52</v>
      </c>
      <c r="B164" t="str">
        <f>VLOOKUP(pmsurya[[#This Row],[state]],State!$A$2:$B$37,2,0)</f>
        <v xml:space="preserve"> Assam</v>
      </c>
      <c r="C164" t="s">
        <v>77</v>
      </c>
      <c r="D164" s="5">
        <v>1140</v>
      </c>
      <c r="E164" s="5">
        <v>533</v>
      </c>
      <c r="F164" s="5">
        <v>533</v>
      </c>
      <c r="G164" s="5">
        <v>1714</v>
      </c>
      <c r="H164" s="4">
        <v>39442260</v>
      </c>
      <c r="I164" s="5">
        <f>pmsurya[[#This Row],[applications]]-pmsurya[[#This Row],[installations]]</f>
        <v>607</v>
      </c>
      <c r="J164" s="6">
        <f>(pmsurya[[#This Row],[installations]]/pmsurya[[#This Row],[applications]])</f>
        <v>0.46754385964912282</v>
      </c>
    </row>
    <row r="165" spans="1:10" x14ac:dyDescent="0.3">
      <c r="A165" s="3" t="s">
        <v>52</v>
      </c>
      <c r="B165" t="str">
        <f>VLOOKUP(pmsurya[[#This Row],[state]],State!$A$2:$B$37,2,0)</f>
        <v xml:space="preserve"> Assam</v>
      </c>
      <c r="C165" t="s">
        <v>78</v>
      </c>
      <c r="D165" s="5">
        <v>16404</v>
      </c>
      <c r="E165" s="5">
        <v>3920</v>
      </c>
      <c r="F165" s="5">
        <v>3920</v>
      </c>
      <c r="G165" s="5">
        <v>12537</v>
      </c>
      <c r="H165" s="4">
        <v>257117025</v>
      </c>
      <c r="I165" s="5">
        <f>pmsurya[[#This Row],[applications]]-pmsurya[[#This Row],[installations]]</f>
        <v>12484</v>
      </c>
      <c r="J165" s="6">
        <f>(pmsurya[[#This Row],[installations]]/pmsurya[[#This Row],[applications]])</f>
        <v>0.23896610582784686</v>
      </c>
    </row>
    <row r="166" spans="1:10" x14ac:dyDescent="0.3">
      <c r="A166" s="3" t="s">
        <v>52</v>
      </c>
      <c r="B166" t="str">
        <f>VLOOKUP(pmsurya[[#This Row],[state]],State!$A$2:$B$37,2,0)</f>
        <v xml:space="preserve"> Assam</v>
      </c>
      <c r="C166" t="s">
        <v>79</v>
      </c>
      <c r="D166" s="5">
        <v>25125</v>
      </c>
      <c r="E166" s="5">
        <v>6951</v>
      </c>
      <c r="F166" s="5">
        <v>7070</v>
      </c>
      <c r="G166" s="5">
        <v>22745</v>
      </c>
      <c r="H166" s="4">
        <v>508902174</v>
      </c>
      <c r="I166" s="5">
        <f>pmsurya[[#This Row],[applications]]-pmsurya[[#This Row],[installations]]</f>
        <v>18174</v>
      </c>
      <c r="J166" s="6">
        <f>(pmsurya[[#This Row],[installations]]/pmsurya[[#This Row],[applications]])</f>
        <v>0.27665671641791045</v>
      </c>
    </row>
    <row r="167" spans="1:10" x14ac:dyDescent="0.3">
      <c r="A167" s="3" t="s">
        <v>52</v>
      </c>
      <c r="B167" t="str">
        <f>VLOOKUP(pmsurya[[#This Row],[state]],State!$A$2:$B$37,2,0)</f>
        <v xml:space="preserve"> Assam</v>
      </c>
      <c r="C167" t="s">
        <v>80</v>
      </c>
      <c r="D167" s="5">
        <v>5294</v>
      </c>
      <c r="E167" s="5">
        <v>1843</v>
      </c>
      <c r="F167" s="5">
        <v>1843</v>
      </c>
      <c r="G167" s="5">
        <v>6036</v>
      </c>
      <c r="H167" s="4">
        <v>142656624</v>
      </c>
      <c r="I167" s="5">
        <f>pmsurya[[#This Row],[applications]]-pmsurya[[#This Row],[installations]]</f>
        <v>3451</v>
      </c>
      <c r="J167" s="6">
        <f>(pmsurya[[#This Row],[installations]]/pmsurya[[#This Row],[applications]])</f>
        <v>0.34812995844352096</v>
      </c>
    </row>
    <row r="168" spans="1:10" x14ac:dyDescent="0.3">
      <c r="A168" s="3" t="s">
        <v>52</v>
      </c>
      <c r="B168" t="str">
        <f>VLOOKUP(pmsurya[[#This Row],[state]],State!$A$2:$B$37,2,0)</f>
        <v xml:space="preserve"> Assam</v>
      </c>
      <c r="C168" t="s">
        <v>81</v>
      </c>
      <c r="D168" s="5">
        <v>3204</v>
      </c>
      <c r="E168" s="5">
        <v>1594</v>
      </c>
      <c r="F168" s="5">
        <v>1594</v>
      </c>
      <c r="G168" s="5">
        <v>5367</v>
      </c>
      <c r="H168" s="4">
        <v>122531871</v>
      </c>
      <c r="I168" s="5">
        <f>pmsurya[[#This Row],[applications]]-pmsurya[[#This Row],[installations]]</f>
        <v>1610</v>
      </c>
      <c r="J168" s="6">
        <f>(pmsurya[[#This Row],[installations]]/pmsurya[[#This Row],[applications]])</f>
        <v>0.49750312109862671</v>
      </c>
    </row>
    <row r="169" spans="1:10" x14ac:dyDescent="0.3">
      <c r="A169" s="3" t="s">
        <v>52</v>
      </c>
      <c r="B169" t="str">
        <f>VLOOKUP(pmsurya[[#This Row],[state]],State!$A$2:$B$37,2,0)</f>
        <v xml:space="preserve"> Assam</v>
      </c>
      <c r="C169" t="s">
        <v>82</v>
      </c>
      <c r="D169" s="5">
        <v>12027</v>
      </c>
      <c r="E169" s="5">
        <v>3472</v>
      </c>
      <c r="F169" s="5">
        <v>3472</v>
      </c>
      <c r="G169" s="5">
        <v>11655</v>
      </c>
      <c r="H169" s="4">
        <v>241751268</v>
      </c>
      <c r="I169" s="5">
        <f>pmsurya[[#This Row],[applications]]-pmsurya[[#This Row],[installations]]</f>
        <v>8555</v>
      </c>
      <c r="J169" s="6">
        <f>(pmsurya[[#This Row],[installations]]/pmsurya[[#This Row],[applications]])</f>
        <v>0.28868379479504447</v>
      </c>
    </row>
    <row r="170" spans="1:10" x14ac:dyDescent="0.3">
      <c r="A170" s="3" t="s">
        <v>52</v>
      </c>
      <c r="B170" t="str">
        <f>VLOOKUP(pmsurya[[#This Row],[state]],State!$A$2:$B$37,2,0)</f>
        <v xml:space="preserve"> Assam</v>
      </c>
      <c r="C170" t="s">
        <v>83</v>
      </c>
      <c r="D170" s="5">
        <v>6019</v>
      </c>
      <c r="E170" s="5">
        <v>1881</v>
      </c>
      <c r="F170" s="5">
        <v>1881</v>
      </c>
      <c r="G170" s="5">
        <v>5997</v>
      </c>
      <c r="H170" s="4">
        <v>144439218</v>
      </c>
      <c r="I170" s="5">
        <f>pmsurya[[#This Row],[applications]]-pmsurya[[#This Row],[installations]]</f>
        <v>4138</v>
      </c>
      <c r="J170" s="6">
        <f>(pmsurya[[#This Row],[installations]]/pmsurya[[#This Row],[applications]])</f>
        <v>0.31251038378468182</v>
      </c>
    </row>
    <row r="171" spans="1:10" x14ac:dyDescent="0.3">
      <c r="A171" s="3" t="s">
        <v>52</v>
      </c>
      <c r="B171" t="str">
        <f>VLOOKUP(pmsurya[[#This Row],[state]],State!$A$2:$B$37,2,0)</f>
        <v xml:space="preserve"> Assam</v>
      </c>
      <c r="C171" t="s">
        <v>84</v>
      </c>
      <c r="D171" s="5">
        <v>959</v>
      </c>
      <c r="E171" s="5">
        <v>190</v>
      </c>
      <c r="F171" s="5">
        <v>190</v>
      </c>
      <c r="G171" s="5">
        <v>587</v>
      </c>
      <c r="H171" s="4">
        <v>14639724</v>
      </c>
      <c r="I171" s="5">
        <f>pmsurya[[#This Row],[applications]]-pmsurya[[#This Row],[installations]]</f>
        <v>769</v>
      </c>
      <c r="J171" s="6">
        <f>(pmsurya[[#This Row],[installations]]/pmsurya[[#This Row],[applications]])</f>
        <v>0.19812304483837331</v>
      </c>
    </row>
    <row r="172" spans="1:10" x14ac:dyDescent="0.3">
      <c r="A172" s="3" t="s">
        <v>52</v>
      </c>
      <c r="B172" t="str">
        <f>VLOOKUP(pmsurya[[#This Row],[state]],State!$A$2:$B$37,2,0)</f>
        <v xml:space="preserve"> Assam</v>
      </c>
      <c r="C172" t="s">
        <v>85</v>
      </c>
      <c r="D172" s="5">
        <v>6323</v>
      </c>
      <c r="E172" s="5">
        <v>2202</v>
      </c>
      <c r="F172" s="5">
        <v>2206</v>
      </c>
      <c r="G172" s="5">
        <v>7361</v>
      </c>
      <c r="H172" s="4">
        <v>158856093</v>
      </c>
      <c r="I172" s="5">
        <f>pmsurya[[#This Row],[applications]]-pmsurya[[#This Row],[installations]]</f>
        <v>4121</v>
      </c>
      <c r="J172" s="6">
        <f>(pmsurya[[#This Row],[installations]]/pmsurya[[#This Row],[applications]])</f>
        <v>0.34825241182982763</v>
      </c>
    </row>
    <row r="173" spans="1:10" x14ac:dyDescent="0.3">
      <c r="A173" s="3" t="s">
        <v>52</v>
      </c>
      <c r="B173" t="str">
        <f>VLOOKUP(pmsurya[[#This Row],[state]],State!$A$2:$B$37,2,0)</f>
        <v xml:space="preserve"> Assam</v>
      </c>
      <c r="C173" t="s">
        <v>86</v>
      </c>
      <c r="D173" s="5">
        <v>7374</v>
      </c>
      <c r="E173" s="5">
        <v>1831</v>
      </c>
      <c r="F173" s="5">
        <v>1831</v>
      </c>
      <c r="G173" s="5">
        <v>5905</v>
      </c>
      <c r="H173" s="4">
        <v>111045165</v>
      </c>
      <c r="I173" s="5">
        <f>pmsurya[[#This Row],[applications]]-pmsurya[[#This Row],[installations]]</f>
        <v>5543</v>
      </c>
      <c r="J173" s="6">
        <f>(pmsurya[[#This Row],[installations]]/pmsurya[[#This Row],[applications]])</f>
        <v>0.24830485489557907</v>
      </c>
    </row>
    <row r="174" spans="1:10" x14ac:dyDescent="0.3">
      <c r="A174" s="3" t="s">
        <v>52</v>
      </c>
      <c r="B174" t="str">
        <f>VLOOKUP(pmsurya[[#This Row],[state]],State!$A$2:$B$37,2,0)</f>
        <v xml:space="preserve"> Assam</v>
      </c>
      <c r="C174" t="s">
        <v>87</v>
      </c>
      <c r="D174" s="5">
        <v>1550</v>
      </c>
      <c r="E174" s="5">
        <v>532</v>
      </c>
      <c r="F174" s="5">
        <v>532</v>
      </c>
      <c r="G174" s="5">
        <v>1640</v>
      </c>
      <c r="H174" s="4">
        <v>39035832</v>
      </c>
      <c r="I174" s="5">
        <f>pmsurya[[#This Row],[applications]]-pmsurya[[#This Row],[installations]]</f>
        <v>1018</v>
      </c>
      <c r="J174" s="6">
        <f>(pmsurya[[#This Row],[installations]]/pmsurya[[#This Row],[applications]])</f>
        <v>0.34322580645161288</v>
      </c>
    </row>
    <row r="175" spans="1:10" x14ac:dyDescent="0.3">
      <c r="A175" s="3" t="s">
        <v>736</v>
      </c>
      <c r="B175" t="str">
        <f>VLOOKUP(pmsurya[[#This Row],[state]],State!$A$2:$B$37,2,0)</f>
        <v xml:space="preserve"> West Bengal</v>
      </c>
      <c r="C175" t="s">
        <v>737</v>
      </c>
      <c r="D175" s="5">
        <v>163</v>
      </c>
      <c r="E175" s="5">
        <v>7</v>
      </c>
      <c r="F175" s="5">
        <v>7</v>
      </c>
      <c r="G175" s="5">
        <v>20</v>
      </c>
      <c r="H175" s="4">
        <v>0</v>
      </c>
      <c r="I175" s="5">
        <f>pmsurya[[#This Row],[applications]]-pmsurya[[#This Row],[installations]]</f>
        <v>156</v>
      </c>
      <c r="J175" s="6">
        <f>(pmsurya[[#This Row],[installations]]/pmsurya[[#This Row],[applications]])</f>
        <v>4.2944785276073622E-2</v>
      </c>
    </row>
    <row r="176" spans="1:10" x14ac:dyDescent="0.3">
      <c r="A176" s="3" t="s">
        <v>736</v>
      </c>
      <c r="B176" t="str">
        <f>VLOOKUP(pmsurya[[#This Row],[state]],State!$A$2:$B$37,2,0)</f>
        <v xml:space="preserve"> West Bengal</v>
      </c>
      <c r="C176" t="s">
        <v>738</v>
      </c>
      <c r="D176" s="5">
        <v>901</v>
      </c>
      <c r="E176" s="5">
        <v>24</v>
      </c>
      <c r="F176" s="5">
        <v>24</v>
      </c>
      <c r="G176" s="5">
        <v>75</v>
      </c>
      <c r="H176" s="4">
        <v>0</v>
      </c>
      <c r="I176" s="5">
        <f>pmsurya[[#This Row],[applications]]-pmsurya[[#This Row],[installations]]</f>
        <v>877</v>
      </c>
      <c r="J176" s="6">
        <f>(pmsurya[[#This Row],[installations]]/pmsurya[[#This Row],[applications]])</f>
        <v>2.6637069922308545E-2</v>
      </c>
    </row>
    <row r="177" spans="1:10" x14ac:dyDescent="0.3">
      <c r="A177" s="3" t="s">
        <v>736</v>
      </c>
      <c r="B177" t="str">
        <f>VLOOKUP(pmsurya[[#This Row],[state]],State!$A$2:$B$37,2,0)</f>
        <v xml:space="preserve"> West Bengal</v>
      </c>
      <c r="C177" t="s">
        <v>739</v>
      </c>
      <c r="D177" s="5">
        <v>1061</v>
      </c>
      <c r="E177" s="5">
        <v>76</v>
      </c>
      <c r="F177" s="5">
        <v>76</v>
      </c>
      <c r="G177" s="5">
        <v>231</v>
      </c>
      <c r="H177" s="4">
        <v>0</v>
      </c>
      <c r="I177" s="5">
        <f>pmsurya[[#This Row],[applications]]-pmsurya[[#This Row],[installations]]</f>
        <v>985</v>
      </c>
      <c r="J177" s="6">
        <f>(pmsurya[[#This Row],[installations]]/pmsurya[[#This Row],[applications]])</f>
        <v>7.163053722902922E-2</v>
      </c>
    </row>
    <row r="178" spans="1:10" x14ac:dyDescent="0.3">
      <c r="A178" s="3" t="s">
        <v>736</v>
      </c>
      <c r="B178" t="str">
        <f>VLOOKUP(pmsurya[[#This Row],[state]],State!$A$2:$B$37,2,0)</f>
        <v xml:space="preserve"> West Bengal</v>
      </c>
      <c r="C178" t="s">
        <v>740</v>
      </c>
      <c r="D178" s="5">
        <v>269</v>
      </c>
      <c r="E178" s="5">
        <v>5</v>
      </c>
      <c r="F178" s="5">
        <v>5</v>
      </c>
      <c r="G178" s="5">
        <v>15</v>
      </c>
      <c r="H178" s="4">
        <v>0</v>
      </c>
      <c r="I178" s="5">
        <f>pmsurya[[#This Row],[applications]]-pmsurya[[#This Row],[installations]]</f>
        <v>264</v>
      </c>
      <c r="J178" s="6">
        <f>(pmsurya[[#This Row],[installations]]/pmsurya[[#This Row],[applications]])</f>
        <v>1.858736059479554E-2</v>
      </c>
    </row>
    <row r="179" spans="1:10" x14ac:dyDescent="0.3">
      <c r="A179" s="3" t="s">
        <v>736</v>
      </c>
      <c r="B179" t="str">
        <f>VLOOKUP(pmsurya[[#This Row],[state]],State!$A$2:$B$37,2,0)</f>
        <v xml:space="preserve"> West Bengal</v>
      </c>
      <c r="C179" t="s">
        <v>741</v>
      </c>
      <c r="D179" s="5">
        <v>190</v>
      </c>
      <c r="E179" s="5">
        <v>16</v>
      </c>
      <c r="F179" s="5">
        <v>16</v>
      </c>
      <c r="G179" s="5">
        <v>52</v>
      </c>
      <c r="H179" s="4">
        <v>0</v>
      </c>
      <c r="I179" s="5">
        <f>pmsurya[[#This Row],[applications]]-pmsurya[[#This Row],[installations]]</f>
        <v>174</v>
      </c>
      <c r="J179" s="6">
        <f>(pmsurya[[#This Row],[installations]]/pmsurya[[#This Row],[applications]])</f>
        <v>8.4210526315789472E-2</v>
      </c>
    </row>
    <row r="180" spans="1:10" x14ac:dyDescent="0.3">
      <c r="A180" s="3" t="s">
        <v>736</v>
      </c>
      <c r="B180" t="str">
        <f>VLOOKUP(pmsurya[[#This Row],[state]],State!$A$2:$B$37,2,0)</f>
        <v xml:space="preserve"> West Bengal</v>
      </c>
      <c r="C180" t="s">
        <v>742</v>
      </c>
      <c r="D180" s="5">
        <v>310</v>
      </c>
      <c r="E180" s="5">
        <v>10</v>
      </c>
      <c r="F180" s="5">
        <v>10</v>
      </c>
      <c r="G180" s="5">
        <v>29</v>
      </c>
      <c r="H180" s="4">
        <v>0</v>
      </c>
      <c r="I180" s="5">
        <f>pmsurya[[#This Row],[applications]]-pmsurya[[#This Row],[installations]]</f>
        <v>300</v>
      </c>
      <c r="J180" s="6">
        <f>(pmsurya[[#This Row],[installations]]/pmsurya[[#This Row],[applications]])</f>
        <v>3.2258064516129031E-2</v>
      </c>
    </row>
    <row r="181" spans="1:10" x14ac:dyDescent="0.3">
      <c r="A181" s="3" t="s">
        <v>736</v>
      </c>
      <c r="B181" t="str">
        <f>VLOOKUP(pmsurya[[#This Row],[state]],State!$A$2:$B$37,2,0)</f>
        <v xml:space="preserve"> West Bengal</v>
      </c>
      <c r="C181" t="s">
        <v>743</v>
      </c>
      <c r="D181" s="5">
        <v>1497</v>
      </c>
      <c r="E181" s="5">
        <v>154</v>
      </c>
      <c r="F181" s="5">
        <v>154</v>
      </c>
      <c r="G181" s="5">
        <v>480</v>
      </c>
      <c r="H181" s="4">
        <v>905400</v>
      </c>
      <c r="I181" s="5">
        <f>pmsurya[[#This Row],[applications]]-pmsurya[[#This Row],[installations]]</f>
        <v>1343</v>
      </c>
      <c r="J181" s="6">
        <f>(pmsurya[[#This Row],[installations]]/pmsurya[[#This Row],[applications]])</f>
        <v>0.10287241148964596</v>
      </c>
    </row>
    <row r="182" spans="1:10" x14ac:dyDescent="0.3">
      <c r="A182" s="3" t="s">
        <v>736</v>
      </c>
      <c r="B182" t="str">
        <f>VLOOKUP(pmsurya[[#This Row],[state]],State!$A$2:$B$37,2,0)</f>
        <v xml:space="preserve"> West Bengal</v>
      </c>
      <c r="C182" t="s">
        <v>744</v>
      </c>
      <c r="D182" s="5">
        <v>796</v>
      </c>
      <c r="E182" s="5">
        <v>55</v>
      </c>
      <c r="F182" s="5">
        <v>55</v>
      </c>
      <c r="G182" s="5">
        <v>159</v>
      </c>
      <c r="H182" s="4">
        <v>1143240</v>
      </c>
      <c r="I182" s="5">
        <f>pmsurya[[#This Row],[applications]]-pmsurya[[#This Row],[installations]]</f>
        <v>741</v>
      </c>
      <c r="J182" s="6">
        <f>(pmsurya[[#This Row],[installations]]/pmsurya[[#This Row],[applications]])</f>
        <v>6.9095477386934667E-2</v>
      </c>
    </row>
    <row r="183" spans="1:10" x14ac:dyDescent="0.3">
      <c r="A183" s="3" t="s">
        <v>736</v>
      </c>
      <c r="B183" t="str">
        <f>VLOOKUP(pmsurya[[#This Row],[state]],State!$A$2:$B$37,2,0)</f>
        <v xml:space="preserve"> West Bengal</v>
      </c>
      <c r="C183" t="s">
        <v>745</v>
      </c>
      <c r="D183" s="5">
        <v>262</v>
      </c>
      <c r="E183" s="5">
        <v>23</v>
      </c>
      <c r="F183" s="5">
        <v>23</v>
      </c>
      <c r="G183" s="5">
        <v>72</v>
      </c>
      <c r="H183" s="4">
        <v>0</v>
      </c>
      <c r="I183" s="5">
        <f>pmsurya[[#This Row],[applications]]-pmsurya[[#This Row],[installations]]</f>
        <v>239</v>
      </c>
      <c r="J183" s="6">
        <f>(pmsurya[[#This Row],[installations]]/pmsurya[[#This Row],[applications]])</f>
        <v>8.7786259541984726E-2</v>
      </c>
    </row>
    <row r="184" spans="1:10" x14ac:dyDescent="0.3">
      <c r="A184" s="3" t="s">
        <v>736</v>
      </c>
      <c r="B184" t="str">
        <f>VLOOKUP(pmsurya[[#This Row],[state]],State!$A$2:$B$37,2,0)</f>
        <v xml:space="preserve"> West Bengal</v>
      </c>
      <c r="C184" t="s">
        <v>746</v>
      </c>
      <c r="D184" s="5">
        <v>230</v>
      </c>
      <c r="E184" s="5">
        <v>8</v>
      </c>
      <c r="F184" s="5">
        <v>8</v>
      </c>
      <c r="G184" s="5">
        <v>23</v>
      </c>
      <c r="H184" s="4">
        <v>0</v>
      </c>
      <c r="I184" s="5">
        <f>pmsurya[[#This Row],[applications]]-pmsurya[[#This Row],[installations]]</f>
        <v>222</v>
      </c>
      <c r="J184" s="6">
        <f>(pmsurya[[#This Row],[installations]]/pmsurya[[#This Row],[applications]])</f>
        <v>3.4782608695652174E-2</v>
      </c>
    </row>
    <row r="185" spans="1:10" x14ac:dyDescent="0.3">
      <c r="A185" s="3" t="s">
        <v>736</v>
      </c>
      <c r="B185" t="str">
        <f>VLOOKUP(pmsurya[[#This Row],[state]],State!$A$2:$B$37,2,0)</f>
        <v xml:space="preserve"> West Bengal</v>
      </c>
      <c r="C185" t="s">
        <v>747</v>
      </c>
      <c r="D185" s="5">
        <v>32</v>
      </c>
      <c r="E185" s="5">
        <v>0</v>
      </c>
      <c r="F185" s="5">
        <v>0</v>
      </c>
      <c r="G185" s="5">
        <v>0</v>
      </c>
      <c r="H185" s="4">
        <v>0</v>
      </c>
      <c r="I185" s="5">
        <f>pmsurya[[#This Row],[applications]]-pmsurya[[#This Row],[installations]]</f>
        <v>32</v>
      </c>
      <c r="J185" s="6">
        <f>(pmsurya[[#This Row],[installations]]/pmsurya[[#This Row],[applications]])</f>
        <v>0</v>
      </c>
    </row>
    <row r="186" spans="1:10" x14ac:dyDescent="0.3">
      <c r="A186" s="3" t="s">
        <v>736</v>
      </c>
      <c r="B186" t="str">
        <f>VLOOKUP(pmsurya[[#This Row],[state]],State!$A$2:$B$37,2,0)</f>
        <v xml:space="preserve"> West Bengal</v>
      </c>
      <c r="C186" t="s">
        <v>748</v>
      </c>
      <c r="D186" s="5">
        <v>2274</v>
      </c>
      <c r="E186" s="5">
        <v>824</v>
      </c>
      <c r="F186" s="5">
        <v>887</v>
      </c>
      <c r="G186" s="5">
        <v>2834</v>
      </c>
      <c r="H186" s="4">
        <v>52490490</v>
      </c>
      <c r="I186" s="5">
        <f>pmsurya[[#This Row],[applications]]-pmsurya[[#This Row],[installations]]</f>
        <v>1450</v>
      </c>
      <c r="J186" s="6">
        <f>(pmsurya[[#This Row],[installations]]/pmsurya[[#This Row],[applications]])</f>
        <v>0.3623570800351803</v>
      </c>
    </row>
    <row r="187" spans="1:10" x14ac:dyDescent="0.3">
      <c r="A187" s="3" t="s">
        <v>736</v>
      </c>
      <c r="B187" t="str">
        <f>VLOOKUP(pmsurya[[#This Row],[state]],State!$A$2:$B$37,2,0)</f>
        <v xml:space="preserve"> West Bengal</v>
      </c>
      <c r="C187" t="s">
        <v>749</v>
      </c>
      <c r="D187" s="5">
        <v>534</v>
      </c>
      <c r="E187" s="5">
        <v>12</v>
      </c>
      <c r="F187" s="5">
        <v>12</v>
      </c>
      <c r="G187" s="5">
        <v>39</v>
      </c>
      <c r="H187" s="4">
        <v>0</v>
      </c>
      <c r="I187" s="5">
        <f>pmsurya[[#This Row],[applications]]-pmsurya[[#This Row],[installations]]</f>
        <v>522</v>
      </c>
      <c r="J187" s="6">
        <f>(pmsurya[[#This Row],[installations]]/pmsurya[[#This Row],[applications]])</f>
        <v>2.247191011235955E-2</v>
      </c>
    </row>
    <row r="188" spans="1:10" x14ac:dyDescent="0.3">
      <c r="A188" s="3" t="s">
        <v>736</v>
      </c>
      <c r="B188" t="str">
        <f>VLOOKUP(pmsurya[[#This Row],[state]],State!$A$2:$B$37,2,0)</f>
        <v xml:space="preserve"> West Bengal</v>
      </c>
      <c r="C188" t="s">
        <v>750</v>
      </c>
      <c r="D188" s="5">
        <v>1928</v>
      </c>
      <c r="E188" s="5">
        <v>36</v>
      </c>
      <c r="F188" s="5">
        <v>36</v>
      </c>
      <c r="G188" s="5">
        <v>115</v>
      </c>
      <c r="H188" s="4">
        <v>0</v>
      </c>
      <c r="I188" s="5">
        <f>pmsurya[[#This Row],[applications]]-pmsurya[[#This Row],[installations]]</f>
        <v>1892</v>
      </c>
      <c r="J188" s="6">
        <f>(pmsurya[[#This Row],[installations]]/pmsurya[[#This Row],[applications]])</f>
        <v>1.8672199170124481E-2</v>
      </c>
    </row>
    <row r="189" spans="1:10" x14ac:dyDescent="0.3">
      <c r="A189" s="3" t="s">
        <v>736</v>
      </c>
      <c r="B189" t="str">
        <f>VLOOKUP(pmsurya[[#This Row],[state]],State!$A$2:$B$37,2,0)</f>
        <v xml:space="preserve"> West Bengal</v>
      </c>
      <c r="C189" t="s">
        <v>751</v>
      </c>
      <c r="D189" s="5">
        <v>1271</v>
      </c>
      <c r="E189" s="5">
        <v>54</v>
      </c>
      <c r="F189" s="5">
        <v>54</v>
      </c>
      <c r="G189" s="5">
        <v>163</v>
      </c>
      <c r="H189" s="4">
        <v>0</v>
      </c>
      <c r="I189" s="5">
        <f>pmsurya[[#This Row],[applications]]-pmsurya[[#This Row],[installations]]</f>
        <v>1217</v>
      </c>
      <c r="J189" s="6">
        <f>(pmsurya[[#This Row],[installations]]/pmsurya[[#This Row],[applications]])</f>
        <v>4.2486231313926044E-2</v>
      </c>
    </row>
    <row r="190" spans="1:10" x14ac:dyDescent="0.3">
      <c r="A190" s="3" t="s">
        <v>736</v>
      </c>
      <c r="B190" t="str">
        <f>VLOOKUP(pmsurya[[#This Row],[state]],State!$A$2:$B$37,2,0)</f>
        <v xml:space="preserve"> West Bengal</v>
      </c>
      <c r="C190" t="s">
        <v>752</v>
      </c>
      <c r="D190" s="5">
        <v>2204</v>
      </c>
      <c r="E190" s="5">
        <v>158</v>
      </c>
      <c r="F190" s="5">
        <v>158</v>
      </c>
      <c r="G190" s="5">
        <v>511</v>
      </c>
      <c r="H190" s="4">
        <v>1207590</v>
      </c>
      <c r="I190" s="5">
        <f>pmsurya[[#This Row],[applications]]-pmsurya[[#This Row],[installations]]</f>
        <v>2046</v>
      </c>
      <c r="J190" s="6">
        <f>(pmsurya[[#This Row],[installations]]/pmsurya[[#This Row],[applications]])</f>
        <v>7.1687840290381125E-2</v>
      </c>
    </row>
    <row r="191" spans="1:10" x14ac:dyDescent="0.3">
      <c r="A191" s="3" t="s">
        <v>736</v>
      </c>
      <c r="B191" t="str">
        <f>VLOOKUP(pmsurya[[#This Row],[state]],State!$A$2:$B$37,2,0)</f>
        <v xml:space="preserve"> West Bengal</v>
      </c>
      <c r="C191" t="s">
        <v>753</v>
      </c>
      <c r="D191" s="5">
        <v>839</v>
      </c>
      <c r="E191" s="5">
        <v>52</v>
      </c>
      <c r="F191" s="5">
        <v>52</v>
      </c>
      <c r="G191" s="5">
        <v>151</v>
      </c>
      <c r="H191" s="4">
        <v>0</v>
      </c>
      <c r="I191" s="5">
        <f>pmsurya[[#This Row],[applications]]-pmsurya[[#This Row],[installations]]</f>
        <v>787</v>
      </c>
      <c r="J191" s="6">
        <f>(pmsurya[[#This Row],[installations]]/pmsurya[[#This Row],[applications]])</f>
        <v>6.197854588796186E-2</v>
      </c>
    </row>
    <row r="192" spans="1:10" x14ac:dyDescent="0.3">
      <c r="A192" s="3" t="s">
        <v>736</v>
      </c>
      <c r="B192" t="str">
        <f>VLOOKUP(pmsurya[[#This Row],[state]],State!$A$2:$B$37,2,0)</f>
        <v xml:space="preserve"> West Bengal</v>
      </c>
      <c r="C192" t="s">
        <v>754</v>
      </c>
      <c r="D192" s="5">
        <v>1469</v>
      </c>
      <c r="E192" s="5">
        <v>81</v>
      </c>
      <c r="F192" s="5">
        <v>81</v>
      </c>
      <c r="G192" s="5">
        <v>227</v>
      </c>
      <c r="H192" s="4">
        <v>78000</v>
      </c>
      <c r="I192" s="5">
        <f>pmsurya[[#This Row],[applications]]-pmsurya[[#This Row],[installations]]</f>
        <v>1388</v>
      </c>
      <c r="J192" s="6">
        <f>(pmsurya[[#This Row],[installations]]/pmsurya[[#This Row],[applications]])</f>
        <v>5.5139550714771952E-2</v>
      </c>
    </row>
    <row r="193" spans="1:10" x14ac:dyDescent="0.3">
      <c r="A193" s="3" t="s">
        <v>736</v>
      </c>
      <c r="B193" t="str">
        <f>VLOOKUP(pmsurya[[#This Row],[state]],State!$A$2:$B$37,2,0)</f>
        <v xml:space="preserve"> West Bengal</v>
      </c>
      <c r="C193" t="s">
        <v>755</v>
      </c>
      <c r="D193" s="5">
        <v>1404</v>
      </c>
      <c r="E193" s="5">
        <v>79</v>
      </c>
      <c r="F193" s="5">
        <v>79</v>
      </c>
      <c r="G193" s="5">
        <v>245</v>
      </c>
      <c r="H193" s="4">
        <v>0</v>
      </c>
      <c r="I193" s="5">
        <f>pmsurya[[#This Row],[applications]]-pmsurya[[#This Row],[installations]]</f>
        <v>1325</v>
      </c>
      <c r="J193" s="6">
        <f>(pmsurya[[#This Row],[installations]]/pmsurya[[#This Row],[applications]])</f>
        <v>5.6267806267806267E-2</v>
      </c>
    </row>
    <row r="194" spans="1:10" x14ac:dyDescent="0.3">
      <c r="A194" s="3" t="s">
        <v>736</v>
      </c>
      <c r="B194" t="str">
        <f>VLOOKUP(pmsurya[[#This Row],[state]],State!$A$2:$B$37,2,0)</f>
        <v xml:space="preserve"> West Bengal</v>
      </c>
      <c r="C194" t="s">
        <v>756</v>
      </c>
      <c r="D194" s="5">
        <v>2919</v>
      </c>
      <c r="E194" s="5">
        <v>51</v>
      </c>
      <c r="F194" s="5">
        <v>51</v>
      </c>
      <c r="G194" s="5">
        <v>148</v>
      </c>
      <c r="H194" s="4">
        <v>0</v>
      </c>
      <c r="I194" s="5">
        <f>pmsurya[[#This Row],[applications]]-pmsurya[[#This Row],[installations]]</f>
        <v>2868</v>
      </c>
      <c r="J194" s="6">
        <f>(pmsurya[[#This Row],[installations]]/pmsurya[[#This Row],[applications]])</f>
        <v>1.7471736896197326E-2</v>
      </c>
    </row>
    <row r="195" spans="1:10" x14ac:dyDescent="0.3">
      <c r="A195" s="3" t="s">
        <v>736</v>
      </c>
      <c r="B195" t="str">
        <f>VLOOKUP(pmsurya[[#This Row],[state]],State!$A$2:$B$37,2,0)</f>
        <v xml:space="preserve"> West Bengal</v>
      </c>
      <c r="C195" t="s">
        <v>757</v>
      </c>
      <c r="D195" s="5">
        <v>235</v>
      </c>
      <c r="E195" s="5">
        <v>7</v>
      </c>
      <c r="F195" s="5">
        <v>7</v>
      </c>
      <c r="G195" s="5">
        <v>20</v>
      </c>
      <c r="H195" s="4">
        <v>0</v>
      </c>
      <c r="I195" s="5">
        <f>pmsurya[[#This Row],[applications]]-pmsurya[[#This Row],[installations]]</f>
        <v>228</v>
      </c>
      <c r="J195" s="6">
        <f>(pmsurya[[#This Row],[installations]]/pmsurya[[#This Row],[applications]])</f>
        <v>2.9787234042553193E-2</v>
      </c>
    </row>
    <row r="196" spans="1:10" x14ac:dyDescent="0.3">
      <c r="A196" s="3" t="s">
        <v>736</v>
      </c>
      <c r="B196" t="str">
        <f>VLOOKUP(pmsurya[[#This Row],[state]],State!$A$2:$B$37,2,0)</f>
        <v xml:space="preserve"> West Bengal</v>
      </c>
      <c r="C196" t="s">
        <v>758</v>
      </c>
      <c r="D196" s="5">
        <v>1214</v>
      </c>
      <c r="E196" s="5">
        <v>79</v>
      </c>
      <c r="F196" s="5">
        <v>79</v>
      </c>
      <c r="G196" s="5">
        <v>238</v>
      </c>
      <c r="H196" s="4">
        <v>377760</v>
      </c>
      <c r="I196" s="5">
        <f>pmsurya[[#This Row],[applications]]-pmsurya[[#This Row],[installations]]</f>
        <v>1135</v>
      </c>
      <c r="J196" s="6">
        <f>(pmsurya[[#This Row],[installations]]/pmsurya[[#This Row],[applications]])</f>
        <v>6.5074135090609553E-2</v>
      </c>
    </row>
    <row r="197" spans="1:10" x14ac:dyDescent="0.3">
      <c r="A197" s="3" t="s">
        <v>736</v>
      </c>
      <c r="B197" t="str">
        <f>VLOOKUP(pmsurya[[#This Row],[state]],State!$A$2:$B$37,2,0)</f>
        <v xml:space="preserve"> West Bengal</v>
      </c>
      <c r="C197" t="s">
        <v>759</v>
      </c>
      <c r="D197" s="5">
        <v>384</v>
      </c>
      <c r="E197" s="5">
        <v>95</v>
      </c>
      <c r="F197" s="5">
        <v>95</v>
      </c>
      <c r="G197" s="5">
        <v>294</v>
      </c>
      <c r="H197" s="4">
        <v>0</v>
      </c>
      <c r="I197" s="5">
        <f>pmsurya[[#This Row],[applications]]-pmsurya[[#This Row],[installations]]</f>
        <v>289</v>
      </c>
      <c r="J197" s="6">
        <f>(pmsurya[[#This Row],[installations]]/pmsurya[[#This Row],[applications]])</f>
        <v>0.24739583333333334</v>
      </c>
    </row>
    <row r="198" spans="1:10" x14ac:dyDescent="0.3">
      <c r="A198" s="3" t="s">
        <v>222</v>
      </c>
      <c r="B198" t="str">
        <f>VLOOKUP(pmsurya[[#This Row],[state]],State!$A$2:$B$37,2,0)</f>
        <v xml:space="preserve"> Chhattisgarh</v>
      </c>
      <c r="C198" t="s">
        <v>133</v>
      </c>
      <c r="D198" s="5">
        <v>1735</v>
      </c>
      <c r="E198" s="5">
        <v>1208</v>
      </c>
      <c r="F198" s="5">
        <v>1208</v>
      </c>
      <c r="G198" s="5">
        <v>4120</v>
      </c>
      <c r="H198" s="4">
        <v>84809802</v>
      </c>
      <c r="I198" s="5">
        <f>pmsurya[[#This Row],[applications]]-pmsurya[[#This Row],[installations]]</f>
        <v>527</v>
      </c>
      <c r="J198" s="6">
        <f>(pmsurya[[#This Row],[installations]]/pmsurya[[#This Row],[applications]])</f>
        <v>0.69625360230547551</v>
      </c>
    </row>
    <row r="199" spans="1:10" x14ac:dyDescent="0.3">
      <c r="A199" s="3" t="s">
        <v>222</v>
      </c>
      <c r="B199" t="str">
        <f>VLOOKUP(pmsurya[[#This Row],[state]],State!$A$2:$B$37,2,0)</f>
        <v xml:space="preserve"> Chhattisgarh</v>
      </c>
      <c r="C199" t="s">
        <v>223</v>
      </c>
      <c r="D199" s="5">
        <v>1132</v>
      </c>
      <c r="E199" s="5">
        <v>611</v>
      </c>
      <c r="F199" s="5">
        <v>611</v>
      </c>
      <c r="G199" s="5">
        <v>1999</v>
      </c>
      <c r="H199" s="4">
        <v>39446616</v>
      </c>
      <c r="I199" s="5">
        <f>pmsurya[[#This Row],[applications]]-pmsurya[[#This Row],[installations]]</f>
        <v>521</v>
      </c>
      <c r="J199" s="6">
        <f>(pmsurya[[#This Row],[installations]]/pmsurya[[#This Row],[applications]])</f>
        <v>0.53975265017667839</v>
      </c>
    </row>
    <row r="200" spans="1:10" x14ac:dyDescent="0.3">
      <c r="A200" s="3" t="s">
        <v>222</v>
      </c>
      <c r="B200" t="str">
        <f>VLOOKUP(pmsurya[[#This Row],[state]],State!$A$2:$B$37,2,0)</f>
        <v xml:space="preserve"> Chhattisgarh</v>
      </c>
      <c r="C200" t="s">
        <v>224</v>
      </c>
      <c r="D200" s="5">
        <v>2709</v>
      </c>
      <c r="E200" s="5">
        <v>2055</v>
      </c>
      <c r="F200" s="5">
        <v>2055</v>
      </c>
      <c r="G200" s="5">
        <v>6973</v>
      </c>
      <c r="H200" s="4">
        <v>149381265</v>
      </c>
      <c r="I200" s="5">
        <f>pmsurya[[#This Row],[applications]]-pmsurya[[#This Row],[installations]]</f>
        <v>654</v>
      </c>
      <c r="J200" s="6">
        <f>(pmsurya[[#This Row],[installations]]/pmsurya[[#This Row],[applications]])</f>
        <v>0.75858250276854933</v>
      </c>
    </row>
    <row r="201" spans="1:10" x14ac:dyDescent="0.3">
      <c r="A201" s="3" t="s">
        <v>222</v>
      </c>
      <c r="B201" t="str">
        <f>VLOOKUP(pmsurya[[#This Row],[state]],State!$A$2:$B$37,2,0)</f>
        <v xml:space="preserve"> Chhattisgarh</v>
      </c>
      <c r="C201" t="s">
        <v>225</v>
      </c>
      <c r="D201" s="5">
        <v>3090</v>
      </c>
      <c r="E201" s="5">
        <v>2091</v>
      </c>
      <c r="F201" s="5">
        <v>2112</v>
      </c>
      <c r="G201" s="5">
        <v>7275</v>
      </c>
      <c r="H201" s="4">
        <v>154287144</v>
      </c>
      <c r="I201" s="5">
        <f>pmsurya[[#This Row],[applications]]-pmsurya[[#This Row],[installations]]</f>
        <v>999</v>
      </c>
      <c r="J201" s="6">
        <f>(pmsurya[[#This Row],[installations]]/pmsurya[[#This Row],[applications]])</f>
        <v>0.6766990291262136</v>
      </c>
    </row>
    <row r="202" spans="1:10" x14ac:dyDescent="0.3">
      <c r="A202" s="3" t="s">
        <v>222</v>
      </c>
      <c r="B202" t="str">
        <f>VLOOKUP(pmsurya[[#This Row],[state]],State!$A$2:$B$37,2,0)</f>
        <v xml:space="preserve"> Chhattisgarh</v>
      </c>
      <c r="C202" t="s">
        <v>226</v>
      </c>
      <c r="D202" s="5">
        <v>45</v>
      </c>
      <c r="E202" s="5">
        <v>17</v>
      </c>
      <c r="F202" s="5">
        <v>17</v>
      </c>
      <c r="G202" s="5">
        <v>52</v>
      </c>
      <c r="H202" s="4">
        <v>1354485</v>
      </c>
      <c r="I202" s="5">
        <f>pmsurya[[#This Row],[applications]]-pmsurya[[#This Row],[installations]]</f>
        <v>28</v>
      </c>
      <c r="J202" s="6">
        <f>(pmsurya[[#This Row],[installations]]/pmsurya[[#This Row],[applications]])</f>
        <v>0.37777777777777777</v>
      </c>
    </row>
    <row r="203" spans="1:10" x14ac:dyDescent="0.3">
      <c r="A203" s="3" t="s">
        <v>222</v>
      </c>
      <c r="B203" t="str">
        <f>VLOOKUP(pmsurya[[#This Row],[state]],State!$A$2:$B$37,2,0)</f>
        <v xml:space="preserve"> Chhattisgarh</v>
      </c>
      <c r="C203" t="s">
        <v>227</v>
      </c>
      <c r="D203" s="5">
        <v>356</v>
      </c>
      <c r="E203" s="5">
        <v>163</v>
      </c>
      <c r="F203" s="5">
        <v>163</v>
      </c>
      <c r="G203" s="5">
        <v>571</v>
      </c>
      <c r="H203" s="4">
        <v>9509544</v>
      </c>
      <c r="I203" s="5">
        <f>pmsurya[[#This Row],[applications]]-pmsurya[[#This Row],[installations]]</f>
        <v>193</v>
      </c>
      <c r="J203" s="6">
        <f>(pmsurya[[#This Row],[installations]]/pmsurya[[#This Row],[applications]])</f>
        <v>0.45786516853932585</v>
      </c>
    </row>
    <row r="204" spans="1:10" x14ac:dyDescent="0.3">
      <c r="A204" s="3" t="s">
        <v>222</v>
      </c>
      <c r="B204" t="str">
        <f>VLOOKUP(pmsurya[[#This Row],[state]],State!$A$2:$B$37,2,0)</f>
        <v xml:space="preserve"> Chhattisgarh</v>
      </c>
      <c r="C204" t="s">
        <v>228</v>
      </c>
      <c r="D204" s="5">
        <v>15</v>
      </c>
      <c r="E204" s="5">
        <v>1</v>
      </c>
      <c r="F204" s="5">
        <v>1</v>
      </c>
      <c r="G204" s="5">
        <v>3</v>
      </c>
      <c r="H204" s="4">
        <v>85800</v>
      </c>
      <c r="I204" s="5">
        <f>pmsurya[[#This Row],[applications]]-pmsurya[[#This Row],[installations]]</f>
        <v>14</v>
      </c>
      <c r="J204" s="6">
        <f>(pmsurya[[#This Row],[installations]]/pmsurya[[#This Row],[applications]])</f>
        <v>6.6666666666666666E-2</v>
      </c>
    </row>
    <row r="205" spans="1:10" x14ac:dyDescent="0.3">
      <c r="A205" s="3" t="s">
        <v>222</v>
      </c>
      <c r="B205" t="str">
        <f>VLOOKUP(pmsurya[[#This Row],[state]],State!$A$2:$B$37,2,0)</f>
        <v xml:space="preserve"> Chhattisgarh</v>
      </c>
      <c r="C205" t="s">
        <v>229</v>
      </c>
      <c r="D205" s="5">
        <v>1986</v>
      </c>
      <c r="E205" s="5">
        <v>1308</v>
      </c>
      <c r="F205" s="5">
        <v>1308</v>
      </c>
      <c r="G205" s="5">
        <v>4452</v>
      </c>
      <c r="H205" s="4">
        <v>93353370</v>
      </c>
      <c r="I205" s="5">
        <f>pmsurya[[#This Row],[applications]]-pmsurya[[#This Row],[installations]]</f>
        <v>678</v>
      </c>
      <c r="J205" s="6">
        <f>(pmsurya[[#This Row],[installations]]/pmsurya[[#This Row],[applications]])</f>
        <v>0.65861027190332322</v>
      </c>
    </row>
    <row r="206" spans="1:10" x14ac:dyDescent="0.3">
      <c r="A206" s="3" t="s">
        <v>222</v>
      </c>
      <c r="B206" t="str">
        <f>VLOOKUP(pmsurya[[#This Row],[state]],State!$A$2:$B$37,2,0)</f>
        <v xml:space="preserve"> Chhattisgarh</v>
      </c>
      <c r="C206" t="s">
        <v>230</v>
      </c>
      <c r="D206" s="5">
        <v>754</v>
      </c>
      <c r="E206" s="5">
        <v>290</v>
      </c>
      <c r="F206" s="5">
        <v>290</v>
      </c>
      <c r="G206" s="5">
        <v>1008</v>
      </c>
      <c r="H206" s="4">
        <v>20912793</v>
      </c>
      <c r="I206" s="5">
        <f>pmsurya[[#This Row],[applications]]-pmsurya[[#This Row],[installations]]</f>
        <v>464</v>
      </c>
      <c r="J206" s="6">
        <f>(pmsurya[[#This Row],[installations]]/pmsurya[[#This Row],[applications]])</f>
        <v>0.38461538461538464</v>
      </c>
    </row>
    <row r="207" spans="1:10" x14ac:dyDescent="0.3">
      <c r="A207" s="3" t="s">
        <v>222</v>
      </c>
      <c r="B207" t="str">
        <f>VLOOKUP(pmsurya[[#This Row],[state]],State!$A$2:$B$37,2,0)</f>
        <v xml:space="preserve"> Chhattisgarh</v>
      </c>
      <c r="C207" t="s">
        <v>231</v>
      </c>
      <c r="D207" s="5">
        <v>1278</v>
      </c>
      <c r="E207" s="5">
        <v>756</v>
      </c>
      <c r="F207" s="5">
        <v>756</v>
      </c>
      <c r="G207" s="5">
        <v>2540</v>
      </c>
      <c r="H207" s="4">
        <v>57204609</v>
      </c>
      <c r="I207" s="5">
        <f>pmsurya[[#This Row],[applications]]-pmsurya[[#This Row],[installations]]</f>
        <v>522</v>
      </c>
      <c r="J207" s="6">
        <f>(pmsurya[[#This Row],[installations]]/pmsurya[[#This Row],[applications]])</f>
        <v>0.59154929577464788</v>
      </c>
    </row>
    <row r="208" spans="1:10" x14ac:dyDescent="0.3">
      <c r="A208" s="3" t="s">
        <v>222</v>
      </c>
      <c r="B208" t="str">
        <f>VLOOKUP(pmsurya[[#This Row],[state]],State!$A$2:$B$37,2,0)</f>
        <v xml:space="preserve"> Chhattisgarh</v>
      </c>
      <c r="C208" t="s">
        <v>232</v>
      </c>
      <c r="D208" s="5">
        <v>1393</v>
      </c>
      <c r="E208" s="5">
        <v>760</v>
      </c>
      <c r="F208" s="5">
        <v>760</v>
      </c>
      <c r="G208" s="5">
        <v>2735</v>
      </c>
      <c r="H208" s="4">
        <v>53486235</v>
      </c>
      <c r="I208" s="5">
        <f>pmsurya[[#This Row],[applications]]-pmsurya[[#This Row],[installations]]</f>
        <v>633</v>
      </c>
      <c r="J208" s="6">
        <f>(pmsurya[[#This Row],[installations]]/pmsurya[[#This Row],[applications]])</f>
        <v>0.54558506819813357</v>
      </c>
    </row>
    <row r="209" spans="1:10" x14ac:dyDescent="0.3">
      <c r="A209" s="3" t="s">
        <v>222</v>
      </c>
      <c r="B209" t="str">
        <f>VLOOKUP(pmsurya[[#This Row],[state]],State!$A$2:$B$37,2,0)</f>
        <v xml:space="preserve"> Chhattisgarh</v>
      </c>
      <c r="C209" t="s">
        <v>233</v>
      </c>
      <c r="D209" s="5">
        <v>1708</v>
      </c>
      <c r="E209" s="5">
        <v>1239</v>
      </c>
      <c r="F209" s="5">
        <v>1240</v>
      </c>
      <c r="G209" s="5">
        <v>4302</v>
      </c>
      <c r="H209" s="4">
        <v>83504091</v>
      </c>
      <c r="I209" s="5">
        <f>pmsurya[[#This Row],[applications]]-pmsurya[[#This Row],[installations]]</f>
        <v>469</v>
      </c>
      <c r="J209" s="6">
        <f>(pmsurya[[#This Row],[installations]]/pmsurya[[#This Row],[applications]])</f>
        <v>0.72540983606557374</v>
      </c>
    </row>
    <row r="210" spans="1:10" x14ac:dyDescent="0.3">
      <c r="A210" s="3" t="s">
        <v>234</v>
      </c>
      <c r="B210" t="str">
        <f>VLOOKUP(pmsurya[[#This Row],[state]],State!$A$2:$B$37,2,0)</f>
        <v xml:space="preserve"> Jharkhand</v>
      </c>
      <c r="C210" t="s">
        <v>235</v>
      </c>
      <c r="D210" s="5">
        <v>464</v>
      </c>
      <c r="E210" s="5">
        <v>127</v>
      </c>
      <c r="F210" s="5">
        <v>127</v>
      </c>
      <c r="G210" s="5">
        <v>467</v>
      </c>
      <c r="H210" s="4">
        <v>8942310</v>
      </c>
      <c r="I210" s="5">
        <f>pmsurya[[#This Row],[applications]]-pmsurya[[#This Row],[installations]]</f>
        <v>337</v>
      </c>
      <c r="J210" s="6">
        <f>(pmsurya[[#This Row],[installations]]/pmsurya[[#This Row],[applications]])</f>
        <v>0.27370689655172414</v>
      </c>
    </row>
    <row r="211" spans="1:10" x14ac:dyDescent="0.3">
      <c r="A211" s="3" t="s">
        <v>234</v>
      </c>
      <c r="B211" t="str">
        <f>VLOOKUP(pmsurya[[#This Row],[state]],State!$A$2:$B$37,2,0)</f>
        <v xml:space="preserve"> Jharkhand</v>
      </c>
      <c r="C211" t="s">
        <v>236</v>
      </c>
      <c r="D211" s="5">
        <v>433</v>
      </c>
      <c r="E211" s="5">
        <v>18</v>
      </c>
      <c r="F211" s="5">
        <v>18</v>
      </c>
      <c r="G211" s="5">
        <v>61</v>
      </c>
      <c r="H211" s="4">
        <v>858000</v>
      </c>
      <c r="I211" s="5">
        <f>pmsurya[[#This Row],[applications]]-pmsurya[[#This Row],[installations]]</f>
        <v>415</v>
      </c>
      <c r="J211" s="6">
        <f>(pmsurya[[#This Row],[installations]]/pmsurya[[#This Row],[applications]])</f>
        <v>4.1570438799076209E-2</v>
      </c>
    </row>
    <row r="212" spans="1:10" x14ac:dyDescent="0.3">
      <c r="A212" s="3" t="s">
        <v>234</v>
      </c>
      <c r="B212" t="str">
        <f>VLOOKUP(pmsurya[[#This Row],[state]],State!$A$2:$B$37,2,0)</f>
        <v xml:space="preserve"> Jharkhand</v>
      </c>
      <c r="C212" t="s">
        <v>237</v>
      </c>
      <c r="D212" s="5">
        <v>848</v>
      </c>
      <c r="E212" s="5">
        <v>385</v>
      </c>
      <c r="F212" s="5">
        <v>385</v>
      </c>
      <c r="G212" s="5">
        <v>1541</v>
      </c>
      <c r="H212" s="4">
        <v>26339700</v>
      </c>
      <c r="I212" s="5">
        <f>pmsurya[[#This Row],[applications]]-pmsurya[[#This Row],[installations]]</f>
        <v>463</v>
      </c>
      <c r="J212" s="6">
        <f>(pmsurya[[#This Row],[installations]]/pmsurya[[#This Row],[applications]])</f>
        <v>0.45400943396226418</v>
      </c>
    </row>
    <row r="213" spans="1:10" x14ac:dyDescent="0.3">
      <c r="A213" s="3" t="s">
        <v>234</v>
      </c>
      <c r="B213" t="str">
        <f>VLOOKUP(pmsurya[[#This Row],[state]],State!$A$2:$B$37,2,0)</f>
        <v xml:space="preserve"> Jharkhand</v>
      </c>
      <c r="C213" t="s">
        <v>238</v>
      </c>
      <c r="D213" s="5">
        <v>646</v>
      </c>
      <c r="E213" s="5">
        <v>136</v>
      </c>
      <c r="F213" s="5">
        <v>147</v>
      </c>
      <c r="G213" s="5">
        <v>594</v>
      </c>
      <c r="H213" s="4">
        <v>8947560</v>
      </c>
      <c r="I213" s="5">
        <f>pmsurya[[#This Row],[applications]]-pmsurya[[#This Row],[installations]]</f>
        <v>510</v>
      </c>
      <c r="J213" s="6">
        <f>(pmsurya[[#This Row],[installations]]/pmsurya[[#This Row],[applications]])</f>
        <v>0.21052631578947367</v>
      </c>
    </row>
    <row r="214" spans="1:10" x14ac:dyDescent="0.3">
      <c r="A214" s="3" t="s">
        <v>234</v>
      </c>
      <c r="B214" t="str">
        <f>VLOOKUP(pmsurya[[#This Row],[state]],State!$A$2:$B$37,2,0)</f>
        <v xml:space="preserve"> Jharkhand</v>
      </c>
      <c r="C214" t="s">
        <v>239</v>
      </c>
      <c r="D214" s="5">
        <v>246</v>
      </c>
      <c r="E214" s="5">
        <v>16</v>
      </c>
      <c r="F214" s="5">
        <v>16</v>
      </c>
      <c r="G214" s="5">
        <v>69</v>
      </c>
      <c r="H214" s="4">
        <v>1092000</v>
      </c>
      <c r="I214" s="5">
        <f>pmsurya[[#This Row],[applications]]-pmsurya[[#This Row],[installations]]</f>
        <v>230</v>
      </c>
      <c r="J214" s="6">
        <f>(pmsurya[[#This Row],[installations]]/pmsurya[[#This Row],[applications]])</f>
        <v>6.5040650406504072E-2</v>
      </c>
    </row>
    <row r="215" spans="1:10" x14ac:dyDescent="0.3">
      <c r="A215" s="3" t="s">
        <v>234</v>
      </c>
      <c r="B215" t="str">
        <f>VLOOKUP(pmsurya[[#This Row],[state]],State!$A$2:$B$37,2,0)</f>
        <v xml:space="preserve"> Jharkhand</v>
      </c>
      <c r="C215" t="s">
        <v>240</v>
      </c>
      <c r="D215" s="5">
        <v>790</v>
      </c>
      <c r="E215" s="5">
        <v>324</v>
      </c>
      <c r="F215" s="5">
        <v>324</v>
      </c>
      <c r="G215" s="5">
        <v>1309</v>
      </c>
      <c r="H215" s="4">
        <v>19662000</v>
      </c>
      <c r="I215" s="5">
        <f>pmsurya[[#This Row],[applications]]-pmsurya[[#This Row],[installations]]</f>
        <v>466</v>
      </c>
      <c r="J215" s="6">
        <f>(pmsurya[[#This Row],[installations]]/pmsurya[[#This Row],[applications]])</f>
        <v>0.41012658227848103</v>
      </c>
    </row>
    <row r="216" spans="1:10" x14ac:dyDescent="0.3">
      <c r="A216" s="3" t="s">
        <v>234</v>
      </c>
      <c r="B216" t="str">
        <f>VLOOKUP(pmsurya[[#This Row],[state]],State!$A$2:$B$37,2,0)</f>
        <v xml:space="preserve"> Jharkhand</v>
      </c>
      <c r="C216" t="s">
        <v>241</v>
      </c>
      <c r="D216" s="5">
        <v>543</v>
      </c>
      <c r="E216" s="5">
        <v>71</v>
      </c>
      <c r="F216" s="5">
        <v>73</v>
      </c>
      <c r="G216" s="5">
        <v>300</v>
      </c>
      <c r="H216" s="4">
        <v>4602000</v>
      </c>
      <c r="I216" s="5">
        <f>pmsurya[[#This Row],[applications]]-pmsurya[[#This Row],[installations]]</f>
        <v>472</v>
      </c>
      <c r="J216" s="6">
        <f>(pmsurya[[#This Row],[installations]]/pmsurya[[#This Row],[applications]])</f>
        <v>0.13075506445672191</v>
      </c>
    </row>
    <row r="217" spans="1:10" x14ac:dyDescent="0.3">
      <c r="A217" s="3" t="s">
        <v>234</v>
      </c>
      <c r="B217" t="str">
        <f>VLOOKUP(pmsurya[[#This Row],[state]],State!$A$2:$B$37,2,0)</f>
        <v xml:space="preserve"> Jharkhand</v>
      </c>
      <c r="C217" t="s">
        <v>242</v>
      </c>
      <c r="D217" s="5">
        <v>640</v>
      </c>
      <c r="E217" s="5">
        <v>17</v>
      </c>
      <c r="F217" s="5">
        <v>17</v>
      </c>
      <c r="G217" s="5">
        <v>81</v>
      </c>
      <c r="H217" s="4">
        <v>765240</v>
      </c>
      <c r="I217" s="5">
        <f>pmsurya[[#This Row],[applications]]-pmsurya[[#This Row],[installations]]</f>
        <v>623</v>
      </c>
      <c r="J217" s="6">
        <f>(pmsurya[[#This Row],[installations]]/pmsurya[[#This Row],[applications]])</f>
        <v>2.6562499999999999E-2</v>
      </c>
    </row>
    <row r="218" spans="1:10" x14ac:dyDescent="0.3">
      <c r="A218" s="3" t="s">
        <v>234</v>
      </c>
      <c r="B218" t="str">
        <f>VLOOKUP(pmsurya[[#This Row],[state]],State!$A$2:$B$37,2,0)</f>
        <v xml:space="preserve"> Jharkhand</v>
      </c>
      <c r="C218" t="s">
        <v>243</v>
      </c>
      <c r="D218" s="5">
        <v>296</v>
      </c>
      <c r="E218" s="5">
        <v>30</v>
      </c>
      <c r="F218" s="5">
        <v>30</v>
      </c>
      <c r="G218" s="5">
        <v>97</v>
      </c>
      <c r="H218" s="4">
        <v>1950000</v>
      </c>
      <c r="I218" s="5">
        <f>pmsurya[[#This Row],[applications]]-pmsurya[[#This Row],[installations]]</f>
        <v>266</v>
      </c>
      <c r="J218" s="6">
        <f>(pmsurya[[#This Row],[installations]]/pmsurya[[#This Row],[applications]])</f>
        <v>0.10135135135135136</v>
      </c>
    </row>
    <row r="219" spans="1:10" x14ac:dyDescent="0.3">
      <c r="A219" s="3" t="s">
        <v>234</v>
      </c>
      <c r="B219" t="str">
        <f>VLOOKUP(pmsurya[[#This Row],[state]],State!$A$2:$B$37,2,0)</f>
        <v xml:space="preserve"> Jharkhand</v>
      </c>
      <c r="C219" t="s">
        <v>244</v>
      </c>
      <c r="D219" s="5">
        <v>121</v>
      </c>
      <c r="E219" s="5">
        <v>13</v>
      </c>
      <c r="F219" s="5">
        <v>13</v>
      </c>
      <c r="G219" s="5">
        <v>51</v>
      </c>
      <c r="H219" s="4">
        <v>936000</v>
      </c>
      <c r="I219" s="5">
        <f>pmsurya[[#This Row],[applications]]-pmsurya[[#This Row],[installations]]</f>
        <v>108</v>
      </c>
      <c r="J219" s="6">
        <f>(pmsurya[[#This Row],[installations]]/pmsurya[[#This Row],[applications]])</f>
        <v>0.10743801652892562</v>
      </c>
    </row>
    <row r="220" spans="1:10" x14ac:dyDescent="0.3">
      <c r="A220" s="3" t="s">
        <v>234</v>
      </c>
      <c r="B220" t="str">
        <f>VLOOKUP(pmsurya[[#This Row],[state]],State!$A$2:$B$37,2,0)</f>
        <v xml:space="preserve"> Jharkhand</v>
      </c>
      <c r="C220" t="s">
        <v>245</v>
      </c>
      <c r="D220" s="5">
        <v>855</v>
      </c>
      <c r="E220" s="5">
        <v>72</v>
      </c>
      <c r="F220" s="5">
        <v>72</v>
      </c>
      <c r="G220" s="5">
        <v>288</v>
      </c>
      <c r="H220" s="4">
        <v>4884480</v>
      </c>
      <c r="I220" s="5">
        <f>pmsurya[[#This Row],[applications]]-pmsurya[[#This Row],[installations]]</f>
        <v>783</v>
      </c>
      <c r="J220" s="6">
        <f>(pmsurya[[#This Row],[installations]]/pmsurya[[#This Row],[applications]])</f>
        <v>8.4210526315789472E-2</v>
      </c>
    </row>
    <row r="221" spans="1:10" x14ac:dyDescent="0.3">
      <c r="A221" s="3" t="s">
        <v>234</v>
      </c>
      <c r="B221" t="str">
        <f>VLOOKUP(pmsurya[[#This Row],[state]],State!$A$2:$B$37,2,0)</f>
        <v xml:space="preserve"> Jharkhand</v>
      </c>
      <c r="C221" t="s">
        <v>246</v>
      </c>
      <c r="D221" s="5">
        <v>158</v>
      </c>
      <c r="E221" s="5">
        <v>6</v>
      </c>
      <c r="F221" s="5">
        <v>6</v>
      </c>
      <c r="G221" s="5">
        <v>21</v>
      </c>
      <c r="H221" s="4">
        <v>312000</v>
      </c>
      <c r="I221" s="5">
        <f>pmsurya[[#This Row],[applications]]-pmsurya[[#This Row],[installations]]</f>
        <v>152</v>
      </c>
      <c r="J221" s="6">
        <f>(pmsurya[[#This Row],[installations]]/pmsurya[[#This Row],[applications]])</f>
        <v>3.7974683544303799E-2</v>
      </c>
    </row>
    <row r="222" spans="1:10" x14ac:dyDescent="0.3">
      <c r="A222" s="3" t="s">
        <v>234</v>
      </c>
      <c r="B222" t="str">
        <f>VLOOKUP(pmsurya[[#This Row],[state]],State!$A$2:$B$37,2,0)</f>
        <v xml:space="preserve"> Jharkhand</v>
      </c>
      <c r="C222" t="s">
        <v>247</v>
      </c>
      <c r="D222" s="5">
        <v>82</v>
      </c>
      <c r="E222" s="5">
        <v>4</v>
      </c>
      <c r="F222" s="5">
        <v>4</v>
      </c>
      <c r="G222" s="5">
        <v>14</v>
      </c>
      <c r="H222" s="4">
        <v>219240</v>
      </c>
      <c r="I222" s="5">
        <f>pmsurya[[#This Row],[applications]]-pmsurya[[#This Row],[installations]]</f>
        <v>78</v>
      </c>
      <c r="J222" s="6">
        <f>(pmsurya[[#This Row],[installations]]/pmsurya[[#This Row],[applications]])</f>
        <v>4.878048780487805E-2</v>
      </c>
    </row>
    <row r="223" spans="1:10" x14ac:dyDescent="0.3">
      <c r="A223" s="3" t="s">
        <v>234</v>
      </c>
      <c r="B223" t="str">
        <f>VLOOKUP(pmsurya[[#This Row],[state]],State!$A$2:$B$37,2,0)</f>
        <v xml:space="preserve"> Jharkhand</v>
      </c>
      <c r="C223" t="s">
        <v>248</v>
      </c>
      <c r="D223" s="5">
        <v>171</v>
      </c>
      <c r="E223" s="5">
        <v>12</v>
      </c>
      <c r="F223" s="5">
        <v>12</v>
      </c>
      <c r="G223" s="5">
        <v>48</v>
      </c>
      <c r="H223" s="4">
        <v>844320</v>
      </c>
      <c r="I223" s="5">
        <f>pmsurya[[#This Row],[applications]]-pmsurya[[#This Row],[installations]]</f>
        <v>159</v>
      </c>
      <c r="J223" s="6">
        <f>(pmsurya[[#This Row],[installations]]/pmsurya[[#This Row],[applications]])</f>
        <v>7.0175438596491224E-2</v>
      </c>
    </row>
    <row r="224" spans="1:10" x14ac:dyDescent="0.3">
      <c r="A224" s="3" t="s">
        <v>234</v>
      </c>
      <c r="B224" t="str">
        <f>VLOOKUP(pmsurya[[#This Row],[state]],State!$A$2:$B$37,2,0)</f>
        <v xml:space="preserve"> Jharkhand</v>
      </c>
      <c r="C224" t="s">
        <v>249</v>
      </c>
      <c r="D224" s="5">
        <v>217</v>
      </c>
      <c r="E224" s="5">
        <v>21</v>
      </c>
      <c r="F224" s="5">
        <v>21</v>
      </c>
      <c r="G224" s="5">
        <v>78</v>
      </c>
      <c r="H224" s="4">
        <v>1544880</v>
      </c>
      <c r="I224" s="5">
        <f>pmsurya[[#This Row],[applications]]-pmsurya[[#This Row],[installations]]</f>
        <v>196</v>
      </c>
      <c r="J224" s="6">
        <f>(pmsurya[[#This Row],[installations]]/pmsurya[[#This Row],[applications]])</f>
        <v>9.6774193548387094E-2</v>
      </c>
    </row>
    <row r="225" spans="1:10" x14ac:dyDescent="0.3">
      <c r="A225" s="3" t="s">
        <v>234</v>
      </c>
      <c r="B225" t="str">
        <f>VLOOKUP(pmsurya[[#This Row],[state]],State!$A$2:$B$37,2,0)</f>
        <v xml:space="preserve"> Jharkhand</v>
      </c>
      <c r="C225" t="s">
        <v>250</v>
      </c>
      <c r="D225" s="5">
        <v>150</v>
      </c>
      <c r="E225" s="5">
        <v>28</v>
      </c>
      <c r="F225" s="5">
        <v>28</v>
      </c>
      <c r="G225" s="5">
        <v>101</v>
      </c>
      <c r="H225" s="4">
        <v>1841400</v>
      </c>
      <c r="I225" s="5">
        <f>pmsurya[[#This Row],[applications]]-pmsurya[[#This Row],[installations]]</f>
        <v>122</v>
      </c>
      <c r="J225" s="6">
        <f>(pmsurya[[#This Row],[installations]]/pmsurya[[#This Row],[applications]])</f>
        <v>0.18666666666666668</v>
      </c>
    </row>
    <row r="226" spans="1:10" x14ac:dyDescent="0.3">
      <c r="A226" s="3" t="s">
        <v>234</v>
      </c>
      <c r="B226" t="str">
        <f>VLOOKUP(pmsurya[[#This Row],[state]],State!$A$2:$B$37,2,0)</f>
        <v xml:space="preserve"> Jharkhand</v>
      </c>
      <c r="C226" t="s">
        <v>251</v>
      </c>
      <c r="D226" s="5">
        <v>91</v>
      </c>
      <c r="E226" s="5">
        <v>12</v>
      </c>
      <c r="F226" s="5">
        <v>12</v>
      </c>
      <c r="G226" s="5">
        <v>55</v>
      </c>
      <c r="H226" s="4">
        <v>780000</v>
      </c>
      <c r="I226" s="5">
        <f>pmsurya[[#This Row],[applications]]-pmsurya[[#This Row],[installations]]</f>
        <v>79</v>
      </c>
      <c r="J226" s="6">
        <f>(pmsurya[[#This Row],[installations]]/pmsurya[[#This Row],[applications]])</f>
        <v>0.13186813186813187</v>
      </c>
    </row>
    <row r="227" spans="1:10" x14ac:dyDescent="0.3">
      <c r="A227" s="3" t="s">
        <v>234</v>
      </c>
      <c r="B227" t="str">
        <f>VLOOKUP(pmsurya[[#This Row],[state]],State!$A$2:$B$37,2,0)</f>
        <v xml:space="preserve"> Jharkhand</v>
      </c>
      <c r="C227" t="s">
        <v>252</v>
      </c>
      <c r="D227" s="5">
        <v>388</v>
      </c>
      <c r="E227" s="5">
        <v>49</v>
      </c>
      <c r="F227" s="5">
        <v>49</v>
      </c>
      <c r="G227" s="5">
        <v>204</v>
      </c>
      <c r="H227" s="4">
        <v>2574000</v>
      </c>
      <c r="I227" s="5">
        <f>pmsurya[[#This Row],[applications]]-pmsurya[[#This Row],[installations]]</f>
        <v>339</v>
      </c>
      <c r="J227" s="6">
        <f>(pmsurya[[#This Row],[installations]]/pmsurya[[#This Row],[applications]])</f>
        <v>0.12628865979381443</v>
      </c>
    </row>
    <row r="228" spans="1:10" x14ac:dyDescent="0.3">
      <c r="A228" s="3" t="s">
        <v>234</v>
      </c>
      <c r="B228" t="str">
        <f>VLOOKUP(pmsurya[[#This Row],[state]],State!$A$2:$B$37,2,0)</f>
        <v xml:space="preserve"> Jharkhand</v>
      </c>
      <c r="C228" t="s">
        <v>253</v>
      </c>
      <c r="D228" s="5">
        <v>568</v>
      </c>
      <c r="E228" s="5">
        <v>55</v>
      </c>
      <c r="F228" s="5">
        <v>55</v>
      </c>
      <c r="G228" s="5">
        <v>233</v>
      </c>
      <c r="H228" s="4">
        <v>3419040</v>
      </c>
      <c r="I228" s="5">
        <f>pmsurya[[#This Row],[applications]]-pmsurya[[#This Row],[installations]]</f>
        <v>513</v>
      </c>
      <c r="J228" s="6">
        <f>(pmsurya[[#This Row],[installations]]/pmsurya[[#This Row],[applications]])</f>
        <v>9.6830985915492954E-2</v>
      </c>
    </row>
    <row r="229" spans="1:10" x14ac:dyDescent="0.3">
      <c r="A229" s="3" t="s">
        <v>234</v>
      </c>
      <c r="B229" t="str">
        <f>VLOOKUP(pmsurya[[#This Row],[state]],State!$A$2:$B$37,2,0)</f>
        <v xml:space="preserve"> Jharkhand</v>
      </c>
      <c r="C229" t="s">
        <v>254</v>
      </c>
      <c r="D229" s="5">
        <v>3026</v>
      </c>
      <c r="E229" s="5">
        <v>1287</v>
      </c>
      <c r="F229" s="5">
        <v>1495</v>
      </c>
      <c r="G229" s="5">
        <v>5495</v>
      </c>
      <c r="H229" s="4">
        <v>89020740</v>
      </c>
      <c r="I229" s="5">
        <f>pmsurya[[#This Row],[applications]]-pmsurya[[#This Row],[installations]]</f>
        <v>1739</v>
      </c>
      <c r="J229" s="6">
        <f>(pmsurya[[#This Row],[installations]]/pmsurya[[#This Row],[applications]])</f>
        <v>0.42531394580304033</v>
      </c>
    </row>
    <row r="230" spans="1:10" x14ac:dyDescent="0.3">
      <c r="A230" s="3" t="s">
        <v>234</v>
      </c>
      <c r="B230" t="str">
        <f>VLOOKUP(pmsurya[[#This Row],[state]],State!$A$2:$B$37,2,0)</f>
        <v xml:space="preserve"> Jharkhand</v>
      </c>
      <c r="C230" t="s">
        <v>255</v>
      </c>
      <c r="D230" s="5">
        <v>115</v>
      </c>
      <c r="E230" s="5">
        <v>12</v>
      </c>
      <c r="F230" s="5">
        <v>12</v>
      </c>
      <c r="G230" s="5">
        <v>43</v>
      </c>
      <c r="H230" s="4">
        <v>921240</v>
      </c>
      <c r="I230" s="5">
        <f>pmsurya[[#This Row],[applications]]-pmsurya[[#This Row],[installations]]</f>
        <v>103</v>
      </c>
      <c r="J230" s="6">
        <f>(pmsurya[[#This Row],[installations]]/pmsurya[[#This Row],[applications]])</f>
        <v>0.10434782608695652</v>
      </c>
    </row>
    <row r="231" spans="1:10" x14ac:dyDescent="0.3">
      <c r="A231" s="3" t="s">
        <v>234</v>
      </c>
      <c r="B231" t="str">
        <f>VLOOKUP(pmsurya[[#This Row],[state]],State!$A$2:$B$37,2,0)</f>
        <v xml:space="preserve"> Jharkhand</v>
      </c>
      <c r="C231" t="s">
        <v>256</v>
      </c>
      <c r="D231" s="5">
        <v>87</v>
      </c>
      <c r="E231" s="5">
        <v>22</v>
      </c>
      <c r="F231" s="5">
        <v>22</v>
      </c>
      <c r="G231" s="5">
        <v>109</v>
      </c>
      <c r="H231" s="4">
        <v>1326000</v>
      </c>
      <c r="I231" s="5">
        <f>pmsurya[[#This Row],[applications]]-pmsurya[[#This Row],[installations]]</f>
        <v>65</v>
      </c>
      <c r="J231" s="6">
        <f>(pmsurya[[#This Row],[installations]]/pmsurya[[#This Row],[applications]])</f>
        <v>0.25287356321839083</v>
      </c>
    </row>
    <row r="232" spans="1:10" x14ac:dyDescent="0.3">
      <c r="A232" s="3" t="s">
        <v>234</v>
      </c>
      <c r="B232" t="str">
        <f>VLOOKUP(pmsurya[[#This Row],[state]],State!$A$2:$B$37,2,0)</f>
        <v xml:space="preserve"> Jharkhand</v>
      </c>
      <c r="C232" t="s">
        <v>257</v>
      </c>
      <c r="D232" s="5">
        <v>180</v>
      </c>
      <c r="E232" s="5">
        <v>12</v>
      </c>
      <c r="F232" s="5">
        <v>12</v>
      </c>
      <c r="G232" s="5">
        <v>57</v>
      </c>
      <c r="H232" s="4">
        <v>546000</v>
      </c>
      <c r="I232" s="5">
        <f>pmsurya[[#This Row],[applications]]-pmsurya[[#This Row],[installations]]</f>
        <v>168</v>
      </c>
      <c r="J232" s="6">
        <f>(pmsurya[[#This Row],[installations]]/pmsurya[[#This Row],[applications]])</f>
        <v>6.6666666666666666E-2</v>
      </c>
    </row>
    <row r="233" spans="1:10" x14ac:dyDescent="0.3">
      <c r="A233" s="3" t="s">
        <v>234</v>
      </c>
      <c r="B233" t="str">
        <f>VLOOKUP(pmsurya[[#This Row],[state]],State!$A$2:$B$37,2,0)</f>
        <v xml:space="preserve"> Jharkhand</v>
      </c>
      <c r="C233" t="s">
        <v>258</v>
      </c>
      <c r="D233" s="5">
        <v>132</v>
      </c>
      <c r="E233" s="5">
        <v>27</v>
      </c>
      <c r="F233" s="5">
        <v>27</v>
      </c>
      <c r="G233" s="5">
        <v>129</v>
      </c>
      <c r="H233" s="4">
        <v>1794000</v>
      </c>
      <c r="I233" s="5">
        <f>pmsurya[[#This Row],[applications]]-pmsurya[[#This Row],[installations]]</f>
        <v>105</v>
      </c>
      <c r="J233" s="6">
        <f>(pmsurya[[#This Row],[installations]]/pmsurya[[#This Row],[applications]])</f>
        <v>0.20454545454545456</v>
      </c>
    </row>
    <row r="234" spans="1:10" x14ac:dyDescent="0.3">
      <c r="A234" s="3" t="s">
        <v>453</v>
      </c>
      <c r="B234" t="str">
        <f>VLOOKUP(pmsurya[[#This Row],[state]],State!$A$2:$B$37,2,0)</f>
        <v xml:space="preserve"> Odisha</v>
      </c>
      <c r="C234" t="s">
        <v>454</v>
      </c>
      <c r="D234" s="5">
        <v>6357</v>
      </c>
      <c r="E234" s="5">
        <v>1944</v>
      </c>
      <c r="F234" s="5">
        <v>1944</v>
      </c>
      <c r="G234" s="5">
        <v>5874</v>
      </c>
      <c r="H234" s="4">
        <v>100744560</v>
      </c>
      <c r="I234" s="5">
        <f>pmsurya[[#This Row],[applications]]-pmsurya[[#This Row],[installations]]</f>
        <v>4413</v>
      </c>
      <c r="J234" s="6">
        <f>(pmsurya[[#This Row],[installations]]/pmsurya[[#This Row],[applications]])</f>
        <v>0.30580462482302972</v>
      </c>
    </row>
    <row r="235" spans="1:10" x14ac:dyDescent="0.3">
      <c r="A235" s="3" t="s">
        <v>453</v>
      </c>
      <c r="B235" t="str">
        <f>VLOOKUP(pmsurya[[#This Row],[state]],State!$A$2:$B$37,2,0)</f>
        <v xml:space="preserve"> Odisha</v>
      </c>
      <c r="C235" t="s">
        <v>455</v>
      </c>
      <c r="D235" s="5">
        <v>9323</v>
      </c>
      <c r="E235" s="5">
        <v>3853</v>
      </c>
      <c r="F235" s="5">
        <v>3853</v>
      </c>
      <c r="G235" s="5">
        <v>10582</v>
      </c>
      <c r="H235" s="4">
        <v>171738960</v>
      </c>
      <c r="I235" s="5">
        <f>pmsurya[[#This Row],[applications]]-pmsurya[[#This Row],[installations]]</f>
        <v>5470</v>
      </c>
      <c r="J235" s="6">
        <f>(pmsurya[[#This Row],[installations]]/pmsurya[[#This Row],[applications]])</f>
        <v>0.41327898745039149</v>
      </c>
    </row>
    <row r="236" spans="1:10" x14ac:dyDescent="0.3">
      <c r="A236" s="3" t="s">
        <v>453</v>
      </c>
      <c r="B236" t="str">
        <f>VLOOKUP(pmsurya[[#This Row],[state]],State!$A$2:$B$37,2,0)</f>
        <v xml:space="preserve"> Odisha</v>
      </c>
      <c r="C236" t="s">
        <v>456</v>
      </c>
      <c r="D236" s="5">
        <v>21542</v>
      </c>
      <c r="E236" s="5">
        <v>10270</v>
      </c>
      <c r="F236" s="5">
        <v>10270</v>
      </c>
      <c r="G236" s="5">
        <v>22669</v>
      </c>
      <c r="H236" s="4">
        <v>378886500</v>
      </c>
      <c r="I236" s="5">
        <f>pmsurya[[#This Row],[applications]]-pmsurya[[#This Row],[installations]]</f>
        <v>11272</v>
      </c>
      <c r="J236" s="6">
        <f>(pmsurya[[#This Row],[installations]]/pmsurya[[#This Row],[applications]])</f>
        <v>0.47674310648964813</v>
      </c>
    </row>
    <row r="237" spans="1:10" x14ac:dyDescent="0.3">
      <c r="A237" s="3" t="s">
        <v>453</v>
      </c>
      <c r="B237" t="str">
        <f>VLOOKUP(pmsurya[[#This Row],[state]],State!$A$2:$B$37,2,0)</f>
        <v xml:space="preserve"> Odisha</v>
      </c>
      <c r="C237" t="s">
        <v>457</v>
      </c>
      <c r="D237" s="5">
        <v>10268</v>
      </c>
      <c r="E237" s="5">
        <v>5479</v>
      </c>
      <c r="F237" s="5">
        <v>5479</v>
      </c>
      <c r="G237" s="5">
        <v>16228</v>
      </c>
      <c r="H237" s="4">
        <v>266011530</v>
      </c>
      <c r="I237" s="5">
        <f>pmsurya[[#This Row],[applications]]-pmsurya[[#This Row],[installations]]</f>
        <v>4789</v>
      </c>
      <c r="J237" s="6">
        <f>(pmsurya[[#This Row],[installations]]/pmsurya[[#This Row],[applications]])</f>
        <v>0.5335995325282431</v>
      </c>
    </row>
    <row r="238" spans="1:10" x14ac:dyDescent="0.3">
      <c r="A238" s="3" t="s">
        <v>453</v>
      </c>
      <c r="B238" t="str">
        <f>VLOOKUP(pmsurya[[#This Row],[state]],State!$A$2:$B$37,2,0)</f>
        <v xml:space="preserve"> Odisha</v>
      </c>
      <c r="C238" t="s">
        <v>458</v>
      </c>
      <c r="D238" s="5">
        <v>8019</v>
      </c>
      <c r="E238" s="5">
        <v>3502</v>
      </c>
      <c r="F238" s="5">
        <v>3505</v>
      </c>
      <c r="G238" s="5">
        <v>7425</v>
      </c>
      <c r="H238" s="4">
        <v>134832570</v>
      </c>
      <c r="I238" s="5">
        <f>pmsurya[[#This Row],[applications]]-pmsurya[[#This Row],[installations]]</f>
        <v>4517</v>
      </c>
      <c r="J238" s="6">
        <f>(pmsurya[[#This Row],[installations]]/pmsurya[[#This Row],[applications]])</f>
        <v>0.43671280708317745</v>
      </c>
    </row>
    <row r="239" spans="1:10" x14ac:dyDescent="0.3">
      <c r="A239" s="3" t="s">
        <v>453</v>
      </c>
      <c r="B239" t="str">
        <f>VLOOKUP(pmsurya[[#This Row],[state]],State!$A$2:$B$37,2,0)</f>
        <v xml:space="preserve"> Odisha</v>
      </c>
      <c r="C239" t="s">
        <v>459</v>
      </c>
      <c r="D239" s="5">
        <v>2750</v>
      </c>
      <c r="E239" s="5">
        <v>832</v>
      </c>
      <c r="F239" s="5">
        <v>832</v>
      </c>
      <c r="G239" s="5">
        <v>2116</v>
      </c>
      <c r="H239" s="4">
        <v>33891120</v>
      </c>
      <c r="I239" s="5">
        <f>pmsurya[[#This Row],[applications]]-pmsurya[[#This Row],[installations]]</f>
        <v>1918</v>
      </c>
      <c r="J239" s="6">
        <f>(pmsurya[[#This Row],[installations]]/pmsurya[[#This Row],[applications]])</f>
        <v>0.30254545454545456</v>
      </c>
    </row>
    <row r="240" spans="1:10" x14ac:dyDescent="0.3">
      <c r="A240" s="3" t="s">
        <v>453</v>
      </c>
      <c r="B240" t="str">
        <f>VLOOKUP(pmsurya[[#This Row],[state]],State!$A$2:$B$37,2,0)</f>
        <v xml:space="preserve"> Odisha</v>
      </c>
      <c r="C240" t="s">
        <v>460</v>
      </c>
      <c r="D240" s="5">
        <v>18978</v>
      </c>
      <c r="E240" s="5">
        <v>8771</v>
      </c>
      <c r="F240" s="5">
        <v>9475</v>
      </c>
      <c r="G240" s="5">
        <v>23612</v>
      </c>
      <c r="H240" s="4">
        <v>457987218</v>
      </c>
      <c r="I240" s="5">
        <f>pmsurya[[#This Row],[applications]]-pmsurya[[#This Row],[installations]]</f>
        <v>10207</v>
      </c>
      <c r="J240" s="6">
        <f>(pmsurya[[#This Row],[installations]]/pmsurya[[#This Row],[applications]])</f>
        <v>0.46216671935925807</v>
      </c>
    </row>
    <row r="241" spans="1:10" x14ac:dyDescent="0.3">
      <c r="A241" s="3" t="s">
        <v>453</v>
      </c>
      <c r="B241" t="str">
        <f>VLOOKUP(pmsurya[[#This Row],[state]],State!$A$2:$B$37,2,0)</f>
        <v xml:space="preserve"> Odisha</v>
      </c>
      <c r="C241" t="s">
        <v>461</v>
      </c>
      <c r="D241" s="5">
        <v>1445</v>
      </c>
      <c r="E241" s="5">
        <v>561</v>
      </c>
      <c r="F241" s="5">
        <v>561</v>
      </c>
      <c r="G241" s="5">
        <v>1489</v>
      </c>
      <c r="H241" s="4">
        <v>23977200</v>
      </c>
      <c r="I241" s="5">
        <f>pmsurya[[#This Row],[applications]]-pmsurya[[#This Row],[installations]]</f>
        <v>884</v>
      </c>
      <c r="J241" s="6">
        <f>(pmsurya[[#This Row],[installations]]/pmsurya[[#This Row],[applications]])</f>
        <v>0.38823529411764707</v>
      </c>
    </row>
    <row r="242" spans="1:10" x14ac:dyDescent="0.3">
      <c r="A242" s="3" t="s">
        <v>453</v>
      </c>
      <c r="B242" t="str">
        <f>VLOOKUP(pmsurya[[#This Row],[state]],State!$A$2:$B$37,2,0)</f>
        <v xml:space="preserve"> Odisha</v>
      </c>
      <c r="C242" t="s">
        <v>462</v>
      </c>
      <c r="D242" s="5">
        <v>9073</v>
      </c>
      <c r="E242" s="5">
        <v>3303</v>
      </c>
      <c r="F242" s="5">
        <v>3303</v>
      </c>
      <c r="G242" s="5">
        <v>9052</v>
      </c>
      <c r="H242" s="4">
        <v>160954050</v>
      </c>
      <c r="I242" s="5">
        <f>pmsurya[[#This Row],[applications]]-pmsurya[[#This Row],[installations]]</f>
        <v>5770</v>
      </c>
      <c r="J242" s="6">
        <f>(pmsurya[[#This Row],[installations]]/pmsurya[[#This Row],[applications]])</f>
        <v>0.3640471729306734</v>
      </c>
    </row>
    <row r="243" spans="1:10" x14ac:dyDescent="0.3">
      <c r="A243" s="3" t="s">
        <v>453</v>
      </c>
      <c r="B243" t="str">
        <f>VLOOKUP(pmsurya[[#This Row],[state]],State!$A$2:$B$37,2,0)</f>
        <v xml:space="preserve"> Odisha</v>
      </c>
      <c r="C243" t="s">
        <v>463</v>
      </c>
      <c r="D243" s="5">
        <v>4419</v>
      </c>
      <c r="E243" s="5">
        <v>603</v>
      </c>
      <c r="F243" s="5">
        <v>603</v>
      </c>
      <c r="G243" s="5">
        <v>1346</v>
      </c>
      <c r="H243" s="4">
        <v>20926950</v>
      </c>
      <c r="I243" s="5">
        <f>pmsurya[[#This Row],[applications]]-pmsurya[[#This Row],[installations]]</f>
        <v>3816</v>
      </c>
      <c r="J243" s="6">
        <f>(pmsurya[[#This Row],[installations]]/pmsurya[[#This Row],[applications]])</f>
        <v>0.13645621181262729</v>
      </c>
    </row>
    <row r="244" spans="1:10" x14ac:dyDescent="0.3">
      <c r="A244" s="3" t="s">
        <v>453</v>
      </c>
      <c r="B244" t="str">
        <f>VLOOKUP(pmsurya[[#This Row],[state]],State!$A$2:$B$37,2,0)</f>
        <v xml:space="preserve"> Odisha</v>
      </c>
      <c r="C244" t="s">
        <v>464</v>
      </c>
      <c r="D244" s="5">
        <v>16685</v>
      </c>
      <c r="E244" s="5">
        <v>7060</v>
      </c>
      <c r="F244" s="5">
        <v>7060</v>
      </c>
      <c r="G244" s="5">
        <v>17659</v>
      </c>
      <c r="H244" s="4">
        <v>337188930</v>
      </c>
      <c r="I244" s="5">
        <f>pmsurya[[#This Row],[applications]]-pmsurya[[#This Row],[installations]]</f>
        <v>9625</v>
      </c>
      <c r="J244" s="6">
        <f>(pmsurya[[#This Row],[installations]]/pmsurya[[#This Row],[applications]])</f>
        <v>0.42313455199280792</v>
      </c>
    </row>
    <row r="245" spans="1:10" x14ac:dyDescent="0.3">
      <c r="A245" s="3" t="s">
        <v>453</v>
      </c>
      <c r="B245" t="str">
        <f>VLOOKUP(pmsurya[[#This Row],[state]],State!$A$2:$B$37,2,0)</f>
        <v xml:space="preserve"> Odisha</v>
      </c>
      <c r="C245" t="s">
        <v>465</v>
      </c>
      <c r="D245" s="5">
        <v>12441</v>
      </c>
      <c r="E245" s="5">
        <v>4022</v>
      </c>
      <c r="F245" s="5">
        <v>4022</v>
      </c>
      <c r="G245" s="5">
        <v>9294</v>
      </c>
      <c r="H245" s="4">
        <v>188694600</v>
      </c>
      <c r="I245" s="5">
        <f>pmsurya[[#This Row],[applications]]-pmsurya[[#This Row],[installations]]</f>
        <v>8419</v>
      </c>
      <c r="J245" s="6">
        <f>(pmsurya[[#This Row],[installations]]/pmsurya[[#This Row],[applications]])</f>
        <v>0.32328590949280606</v>
      </c>
    </row>
    <row r="246" spans="1:10" x14ac:dyDescent="0.3">
      <c r="A246" s="3" t="s">
        <v>453</v>
      </c>
      <c r="B246" t="str">
        <f>VLOOKUP(pmsurya[[#This Row],[state]],State!$A$2:$B$37,2,0)</f>
        <v xml:space="preserve"> Odisha</v>
      </c>
      <c r="C246" t="s">
        <v>466</v>
      </c>
      <c r="D246" s="5">
        <v>13138</v>
      </c>
      <c r="E246" s="5">
        <v>5096</v>
      </c>
      <c r="F246" s="5">
        <v>5096</v>
      </c>
      <c r="G246" s="5">
        <v>13370</v>
      </c>
      <c r="H246" s="4">
        <v>226166850</v>
      </c>
      <c r="I246" s="5">
        <f>pmsurya[[#This Row],[applications]]-pmsurya[[#This Row],[installations]]</f>
        <v>8042</v>
      </c>
      <c r="J246" s="6">
        <f>(pmsurya[[#This Row],[installations]]/pmsurya[[#This Row],[applications]])</f>
        <v>0.38788247830720046</v>
      </c>
    </row>
    <row r="247" spans="1:10" x14ac:dyDescent="0.3">
      <c r="A247" s="3" t="s">
        <v>453</v>
      </c>
      <c r="B247" t="str">
        <f>VLOOKUP(pmsurya[[#This Row],[state]],State!$A$2:$B$37,2,0)</f>
        <v xml:space="preserve"> Odisha</v>
      </c>
      <c r="C247" t="s">
        <v>467</v>
      </c>
      <c r="D247" s="5">
        <v>3967</v>
      </c>
      <c r="E247" s="5">
        <v>1998</v>
      </c>
      <c r="F247" s="5">
        <v>1998</v>
      </c>
      <c r="G247" s="5">
        <v>6098</v>
      </c>
      <c r="H247" s="4">
        <v>100053360</v>
      </c>
      <c r="I247" s="5">
        <f>pmsurya[[#This Row],[applications]]-pmsurya[[#This Row],[installations]]</f>
        <v>1969</v>
      </c>
      <c r="J247" s="6">
        <f>(pmsurya[[#This Row],[installations]]/pmsurya[[#This Row],[applications]])</f>
        <v>0.50365515502898917</v>
      </c>
    </row>
    <row r="248" spans="1:10" x14ac:dyDescent="0.3">
      <c r="A248" s="3" t="s">
        <v>453</v>
      </c>
      <c r="B248" t="str">
        <f>VLOOKUP(pmsurya[[#This Row],[state]],State!$A$2:$B$37,2,0)</f>
        <v xml:space="preserve"> Odisha</v>
      </c>
      <c r="C248" t="s">
        <v>468</v>
      </c>
      <c r="D248" s="5">
        <v>7086</v>
      </c>
      <c r="E248" s="5">
        <v>3361</v>
      </c>
      <c r="F248" s="5">
        <v>3361</v>
      </c>
      <c r="G248" s="5">
        <v>9707</v>
      </c>
      <c r="H248" s="4">
        <v>168629670</v>
      </c>
      <c r="I248" s="5">
        <f>pmsurya[[#This Row],[applications]]-pmsurya[[#This Row],[installations]]</f>
        <v>3725</v>
      </c>
      <c r="J248" s="6">
        <f>(pmsurya[[#This Row],[installations]]/pmsurya[[#This Row],[applications]])</f>
        <v>0.47431555179226642</v>
      </c>
    </row>
    <row r="249" spans="1:10" x14ac:dyDescent="0.3">
      <c r="A249" s="3" t="s">
        <v>453</v>
      </c>
      <c r="B249" t="str">
        <f>VLOOKUP(pmsurya[[#This Row],[state]],State!$A$2:$B$37,2,0)</f>
        <v xml:space="preserve"> Odisha</v>
      </c>
      <c r="C249" t="s">
        <v>469</v>
      </c>
      <c r="D249" s="5">
        <v>7630</v>
      </c>
      <c r="E249" s="5">
        <v>432</v>
      </c>
      <c r="F249" s="5">
        <v>432</v>
      </c>
      <c r="G249" s="5">
        <v>795</v>
      </c>
      <c r="H249" s="4">
        <v>13779840</v>
      </c>
      <c r="I249" s="5">
        <f>pmsurya[[#This Row],[applications]]-pmsurya[[#This Row],[installations]]</f>
        <v>7198</v>
      </c>
      <c r="J249" s="6">
        <f>(pmsurya[[#This Row],[installations]]/pmsurya[[#This Row],[applications]])</f>
        <v>5.6618610747051115E-2</v>
      </c>
    </row>
    <row r="250" spans="1:10" x14ac:dyDescent="0.3">
      <c r="A250" s="3" t="s">
        <v>453</v>
      </c>
      <c r="B250" t="str">
        <f>VLOOKUP(pmsurya[[#This Row],[state]],State!$A$2:$B$37,2,0)</f>
        <v xml:space="preserve"> Odisha</v>
      </c>
      <c r="C250" t="s">
        <v>470</v>
      </c>
      <c r="D250" s="5">
        <v>6520</v>
      </c>
      <c r="E250" s="5">
        <v>2666</v>
      </c>
      <c r="F250" s="5">
        <v>2666</v>
      </c>
      <c r="G250" s="5">
        <v>4828</v>
      </c>
      <c r="H250" s="4">
        <v>98863530</v>
      </c>
      <c r="I250" s="5">
        <f>pmsurya[[#This Row],[applications]]-pmsurya[[#This Row],[installations]]</f>
        <v>3854</v>
      </c>
      <c r="J250" s="6">
        <f>(pmsurya[[#This Row],[installations]]/pmsurya[[#This Row],[applications]])</f>
        <v>0.40889570552147242</v>
      </c>
    </row>
    <row r="251" spans="1:10" x14ac:dyDescent="0.3">
      <c r="A251" s="3" t="s">
        <v>453</v>
      </c>
      <c r="B251" t="str">
        <f>VLOOKUP(pmsurya[[#This Row],[state]],State!$A$2:$B$37,2,0)</f>
        <v xml:space="preserve"> Odisha</v>
      </c>
      <c r="C251" t="s">
        <v>471</v>
      </c>
      <c r="D251" s="5">
        <v>8305</v>
      </c>
      <c r="E251" s="5">
        <v>3417</v>
      </c>
      <c r="F251" s="5">
        <v>3417</v>
      </c>
      <c r="G251" s="5">
        <v>7650</v>
      </c>
      <c r="H251" s="4">
        <v>144065370</v>
      </c>
      <c r="I251" s="5">
        <f>pmsurya[[#This Row],[applications]]-pmsurya[[#This Row],[installations]]</f>
        <v>4888</v>
      </c>
      <c r="J251" s="6">
        <f>(pmsurya[[#This Row],[installations]]/pmsurya[[#This Row],[applications]])</f>
        <v>0.4114388922335942</v>
      </c>
    </row>
    <row r="252" spans="1:10" x14ac:dyDescent="0.3">
      <c r="A252" s="3" t="s">
        <v>453</v>
      </c>
      <c r="B252" t="str">
        <f>VLOOKUP(pmsurya[[#This Row],[state]],State!$A$2:$B$37,2,0)</f>
        <v xml:space="preserve"> Odisha</v>
      </c>
      <c r="C252" t="s">
        <v>472</v>
      </c>
      <c r="D252" s="5">
        <v>20042</v>
      </c>
      <c r="E252" s="5">
        <v>10874</v>
      </c>
      <c r="F252" s="5">
        <v>11089</v>
      </c>
      <c r="G252" s="5">
        <v>34954</v>
      </c>
      <c r="H252" s="4">
        <v>680119830</v>
      </c>
      <c r="I252" s="5">
        <f>pmsurya[[#This Row],[applications]]-pmsurya[[#This Row],[installations]]</f>
        <v>9168</v>
      </c>
      <c r="J252" s="6">
        <f>(pmsurya[[#This Row],[installations]]/pmsurya[[#This Row],[applications]])</f>
        <v>0.54256062269234606</v>
      </c>
    </row>
    <row r="253" spans="1:10" x14ac:dyDescent="0.3">
      <c r="A253" s="3" t="s">
        <v>453</v>
      </c>
      <c r="B253" t="str">
        <f>VLOOKUP(pmsurya[[#This Row],[state]],State!$A$2:$B$37,2,0)</f>
        <v xml:space="preserve"> Odisha</v>
      </c>
      <c r="C253" t="s">
        <v>473</v>
      </c>
      <c r="D253" s="5">
        <v>3180</v>
      </c>
      <c r="E253" s="5">
        <v>859</v>
      </c>
      <c r="F253" s="5">
        <v>859</v>
      </c>
      <c r="G253" s="5">
        <v>2551</v>
      </c>
      <c r="H253" s="4">
        <v>46785990</v>
      </c>
      <c r="I253" s="5">
        <f>pmsurya[[#This Row],[applications]]-pmsurya[[#This Row],[installations]]</f>
        <v>2321</v>
      </c>
      <c r="J253" s="6">
        <f>(pmsurya[[#This Row],[installations]]/pmsurya[[#This Row],[applications]])</f>
        <v>0.27012578616352201</v>
      </c>
    </row>
    <row r="254" spans="1:10" x14ac:dyDescent="0.3">
      <c r="A254" s="3" t="s">
        <v>453</v>
      </c>
      <c r="B254" t="str">
        <f>VLOOKUP(pmsurya[[#This Row],[state]],State!$A$2:$B$37,2,0)</f>
        <v xml:space="preserve"> Odisha</v>
      </c>
      <c r="C254" t="s">
        <v>474</v>
      </c>
      <c r="D254" s="5">
        <v>1905</v>
      </c>
      <c r="E254" s="5">
        <v>515</v>
      </c>
      <c r="F254" s="5">
        <v>515</v>
      </c>
      <c r="G254" s="5">
        <v>1019</v>
      </c>
      <c r="H254" s="4">
        <v>16206960</v>
      </c>
      <c r="I254" s="5">
        <f>pmsurya[[#This Row],[applications]]-pmsurya[[#This Row],[installations]]</f>
        <v>1390</v>
      </c>
      <c r="J254" s="6">
        <f>(pmsurya[[#This Row],[installations]]/pmsurya[[#This Row],[applications]])</f>
        <v>0.27034120734908135</v>
      </c>
    </row>
    <row r="255" spans="1:10" x14ac:dyDescent="0.3">
      <c r="A255" s="3" t="s">
        <v>453</v>
      </c>
      <c r="B255" t="str">
        <f>VLOOKUP(pmsurya[[#This Row],[state]],State!$A$2:$B$37,2,0)</f>
        <v xml:space="preserve"> Odisha</v>
      </c>
      <c r="C255" t="s">
        <v>475</v>
      </c>
      <c r="D255" s="5">
        <v>11784</v>
      </c>
      <c r="E255" s="5">
        <v>5906</v>
      </c>
      <c r="F255" s="5">
        <v>5906</v>
      </c>
      <c r="G255" s="5">
        <v>13200</v>
      </c>
      <c r="H255" s="4">
        <v>251462520</v>
      </c>
      <c r="I255" s="5">
        <f>pmsurya[[#This Row],[applications]]-pmsurya[[#This Row],[installations]]</f>
        <v>5878</v>
      </c>
      <c r="J255" s="6">
        <f>(pmsurya[[#This Row],[installations]]/pmsurya[[#This Row],[applications]])</f>
        <v>0.5011880515953836</v>
      </c>
    </row>
    <row r="256" spans="1:10" x14ac:dyDescent="0.3">
      <c r="A256" s="3" t="s">
        <v>453</v>
      </c>
      <c r="B256" t="str">
        <f>VLOOKUP(pmsurya[[#This Row],[state]],State!$A$2:$B$37,2,0)</f>
        <v xml:space="preserve"> Odisha</v>
      </c>
      <c r="C256" t="s">
        <v>476</v>
      </c>
      <c r="D256" s="5">
        <v>3505</v>
      </c>
      <c r="E256" s="5">
        <v>643</v>
      </c>
      <c r="F256" s="5">
        <v>643</v>
      </c>
      <c r="G256" s="5">
        <v>1288</v>
      </c>
      <c r="H256" s="4">
        <v>24713520</v>
      </c>
      <c r="I256" s="5">
        <f>pmsurya[[#This Row],[applications]]-pmsurya[[#This Row],[installations]]</f>
        <v>2862</v>
      </c>
      <c r="J256" s="6">
        <f>(pmsurya[[#This Row],[installations]]/pmsurya[[#This Row],[applications]])</f>
        <v>0.18345221112696147</v>
      </c>
    </row>
    <row r="257" spans="1:10" x14ac:dyDescent="0.3">
      <c r="A257" s="3" t="s">
        <v>453</v>
      </c>
      <c r="B257" t="str">
        <f>VLOOKUP(pmsurya[[#This Row],[state]],State!$A$2:$B$37,2,0)</f>
        <v xml:space="preserve"> Odisha</v>
      </c>
      <c r="C257" t="s">
        <v>477</v>
      </c>
      <c r="D257" s="5">
        <v>5625</v>
      </c>
      <c r="E257" s="5">
        <v>1785</v>
      </c>
      <c r="F257" s="5">
        <v>1785</v>
      </c>
      <c r="G257" s="5">
        <v>5070</v>
      </c>
      <c r="H257" s="4">
        <v>96949530</v>
      </c>
      <c r="I257" s="5">
        <f>pmsurya[[#This Row],[applications]]-pmsurya[[#This Row],[installations]]</f>
        <v>3840</v>
      </c>
      <c r="J257" s="6">
        <f>(pmsurya[[#This Row],[installations]]/pmsurya[[#This Row],[applications]])</f>
        <v>0.31733333333333336</v>
      </c>
    </row>
    <row r="258" spans="1:10" x14ac:dyDescent="0.3">
      <c r="A258" s="3" t="s">
        <v>453</v>
      </c>
      <c r="B258" t="str">
        <f>VLOOKUP(pmsurya[[#This Row],[state]],State!$A$2:$B$37,2,0)</f>
        <v xml:space="preserve"> Odisha</v>
      </c>
      <c r="C258" t="s">
        <v>478</v>
      </c>
      <c r="D258" s="5">
        <v>7104</v>
      </c>
      <c r="E258" s="5">
        <v>4178</v>
      </c>
      <c r="F258" s="5">
        <v>4178</v>
      </c>
      <c r="G258" s="5">
        <v>9654</v>
      </c>
      <c r="H258" s="4">
        <v>183606780</v>
      </c>
      <c r="I258" s="5">
        <f>pmsurya[[#This Row],[applications]]-pmsurya[[#This Row],[installations]]</f>
        <v>2926</v>
      </c>
      <c r="J258" s="6">
        <f>(pmsurya[[#This Row],[installations]]/pmsurya[[#This Row],[applications]])</f>
        <v>0.58811936936936937</v>
      </c>
    </row>
    <row r="259" spans="1:10" x14ac:dyDescent="0.3">
      <c r="A259" s="3" t="s">
        <v>453</v>
      </c>
      <c r="B259" t="str">
        <f>VLOOKUP(pmsurya[[#This Row],[state]],State!$A$2:$B$37,2,0)</f>
        <v xml:space="preserve"> Odisha</v>
      </c>
      <c r="C259" t="s">
        <v>479</v>
      </c>
      <c r="D259" s="5">
        <v>8840</v>
      </c>
      <c r="E259" s="5">
        <v>2999</v>
      </c>
      <c r="F259" s="5">
        <v>2999</v>
      </c>
      <c r="G259" s="5">
        <v>7146</v>
      </c>
      <c r="H259" s="4">
        <v>134461860</v>
      </c>
      <c r="I259" s="5">
        <f>pmsurya[[#This Row],[applications]]-pmsurya[[#This Row],[installations]]</f>
        <v>5841</v>
      </c>
      <c r="J259" s="6">
        <f>(pmsurya[[#This Row],[installations]]/pmsurya[[#This Row],[applications]])</f>
        <v>0.33925339366515839</v>
      </c>
    </row>
    <row r="260" spans="1:10" x14ac:dyDescent="0.3">
      <c r="A260" s="3" t="s">
        <v>453</v>
      </c>
      <c r="B260" t="str">
        <f>VLOOKUP(pmsurya[[#This Row],[state]],State!$A$2:$B$37,2,0)</f>
        <v xml:space="preserve"> Odisha</v>
      </c>
      <c r="C260" t="s">
        <v>480</v>
      </c>
      <c r="D260" s="5">
        <v>3503</v>
      </c>
      <c r="E260" s="5">
        <v>1066</v>
      </c>
      <c r="F260" s="5">
        <v>1066</v>
      </c>
      <c r="G260" s="5">
        <v>3117</v>
      </c>
      <c r="H260" s="4">
        <v>53294220</v>
      </c>
      <c r="I260" s="5">
        <f>pmsurya[[#This Row],[applications]]-pmsurya[[#This Row],[installations]]</f>
        <v>2437</v>
      </c>
      <c r="J260" s="6">
        <f>(pmsurya[[#This Row],[installations]]/pmsurya[[#This Row],[applications]])</f>
        <v>0.3043105909220668</v>
      </c>
    </row>
    <row r="261" spans="1:10" x14ac:dyDescent="0.3">
      <c r="A261" s="3" t="s">
        <v>453</v>
      </c>
      <c r="B261" t="str">
        <f>VLOOKUP(pmsurya[[#This Row],[state]],State!$A$2:$B$37,2,0)</f>
        <v xml:space="preserve"> Odisha</v>
      </c>
      <c r="C261" t="s">
        <v>481</v>
      </c>
      <c r="D261" s="5">
        <v>8973</v>
      </c>
      <c r="E261" s="5">
        <v>4343</v>
      </c>
      <c r="F261" s="5">
        <v>4343</v>
      </c>
      <c r="G261" s="5">
        <v>13095</v>
      </c>
      <c r="H261" s="4">
        <v>204859950</v>
      </c>
      <c r="I261" s="5">
        <f>pmsurya[[#This Row],[applications]]-pmsurya[[#This Row],[installations]]</f>
        <v>4630</v>
      </c>
      <c r="J261" s="6">
        <f>(pmsurya[[#This Row],[installations]]/pmsurya[[#This Row],[applications]])</f>
        <v>0.48400757829042684</v>
      </c>
    </row>
    <row r="262" spans="1:10" x14ac:dyDescent="0.3">
      <c r="A262" s="3" t="s">
        <v>453</v>
      </c>
      <c r="B262" t="str">
        <f>VLOOKUP(pmsurya[[#This Row],[state]],State!$A$2:$B$37,2,0)</f>
        <v xml:space="preserve"> Odisha</v>
      </c>
      <c r="C262" t="s">
        <v>482</v>
      </c>
      <c r="D262" s="5">
        <v>4427</v>
      </c>
      <c r="E262" s="5">
        <v>2229</v>
      </c>
      <c r="F262" s="5">
        <v>2229</v>
      </c>
      <c r="G262" s="5">
        <v>6482</v>
      </c>
      <c r="H262" s="4">
        <v>102880260</v>
      </c>
      <c r="I262" s="5">
        <f>pmsurya[[#This Row],[applications]]-pmsurya[[#This Row],[installations]]</f>
        <v>2198</v>
      </c>
      <c r="J262" s="6">
        <f>(pmsurya[[#This Row],[installations]]/pmsurya[[#This Row],[applications]])</f>
        <v>0.5035012423763271</v>
      </c>
    </row>
    <row r="263" spans="1:10" x14ac:dyDescent="0.3">
      <c r="A263" s="3" t="s">
        <v>453</v>
      </c>
      <c r="B263" t="str">
        <f>VLOOKUP(pmsurya[[#This Row],[state]],State!$A$2:$B$37,2,0)</f>
        <v xml:space="preserve"> Odisha</v>
      </c>
      <c r="C263" t="s">
        <v>483</v>
      </c>
      <c r="D263" s="5">
        <v>9898</v>
      </c>
      <c r="E263" s="5">
        <v>5490</v>
      </c>
      <c r="F263" s="5">
        <v>5623</v>
      </c>
      <c r="G263" s="5">
        <v>15398</v>
      </c>
      <c r="H263" s="4">
        <v>277105200</v>
      </c>
      <c r="I263" s="5">
        <f>pmsurya[[#This Row],[applications]]-pmsurya[[#This Row],[installations]]</f>
        <v>4408</v>
      </c>
      <c r="J263" s="6">
        <f>(pmsurya[[#This Row],[installations]]/pmsurya[[#This Row],[applications]])</f>
        <v>0.5546575065669832</v>
      </c>
    </row>
    <row r="264" spans="1:10" x14ac:dyDescent="0.3">
      <c r="A264" s="3" t="s">
        <v>0</v>
      </c>
      <c r="B264" t="str">
        <f>VLOOKUP(pmsurya[[#This Row],[state]],State!$A$2:$B$37,2,0)</f>
        <v xml:space="preserve"> Chhattisgarh</v>
      </c>
      <c r="C264" t="s">
        <v>127</v>
      </c>
      <c r="D264" s="5">
        <v>3977</v>
      </c>
      <c r="E264" s="5">
        <v>1509</v>
      </c>
      <c r="F264" s="5">
        <v>1510</v>
      </c>
      <c r="G264" s="5">
        <v>5137</v>
      </c>
      <c r="H264" s="4">
        <v>78262710</v>
      </c>
      <c r="I264" s="5">
        <f>pmsurya[[#This Row],[applications]]-pmsurya[[#This Row],[installations]]</f>
        <v>2468</v>
      </c>
      <c r="J264" s="6">
        <f>(pmsurya[[#This Row],[installations]]/pmsurya[[#This Row],[applications]])</f>
        <v>0.37943173246165451</v>
      </c>
    </row>
    <row r="265" spans="1:10" x14ac:dyDescent="0.3">
      <c r="A265" s="3" t="s">
        <v>0</v>
      </c>
      <c r="B265" t="str">
        <f>VLOOKUP(pmsurya[[#This Row],[state]],State!$A$2:$B$37,2,0)</f>
        <v xml:space="preserve"> Chhattisgarh</v>
      </c>
      <c r="C265" t="s">
        <v>128</v>
      </c>
      <c r="D265" s="5">
        <v>13874</v>
      </c>
      <c r="E265" s="5">
        <v>4572</v>
      </c>
      <c r="F265" s="5">
        <v>4572</v>
      </c>
      <c r="G265" s="5">
        <v>15691</v>
      </c>
      <c r="H265" s="4">
        <v>258355080</v>
      </c>
      <c r="I265" s="5">
        <f>pmsurya[[#This Row],[applications]]-pmsurya[[#This Row],[installations]]</f>
        <v>9302</v>
      </c>
      <c r="J265" s="6">
        <f>(pmsurya[[#This Row],[installations]]/pmsurya[[#This Row],[applications]])</f>
        <v>0.32953726394695115</v>
      </c>
    </row>
    <row r="266" spans="1:10" x14ac:dyDescent="0.3">
      <c r="A266" s="3" t="s">
        <v>0</v>
      </c>
      <c r="B266" t="str">
        <f>VLOOKUP(pmsurya[[#This Row],[state]],State!$A$2:$B$37,2,0)</f>
        <v xml:space="preserve"> Chhattisgarh</v>
      </c>
      <c r="C266" t="s">
        <v>129</v>
      </c>
      <c r="D266" s="5">
        <v>872</v>
      </c>
      <c r="E266" s="5">
        <v>274</v>
      </c>
      <c r="F266" s="5">
        <v>274</v>
      </c>
      <c r="G266" s="5">
        <v>951</v>
      </c>
      <c r="H266" s="4">
        <v>15498120</v>
      </c>
      <c r="I266" s="5">
        <f>pmsurya[[#This Row],[applications]]-pmsurya[[#This Row],[installations]]</f>
        <v>598</v>
      </c>
      <c r="J266" s="6">
        <f>(pmsurya[[#This Row],[installations]]/pmsurya[[#This Row],[applications]])</f>
        <v>0.31422018348623854</v>
      </c>
    </row>
    <row r="267" spans="1:10" x14ac:dyDescent="0.3">
      <c r="A267" s="3" t="s">
        <v>0</v>
      </c>
      <c r="B267" t="str">
        <f>VLOOKUP(pmsurya[[#This Row],[state]],State!$A$2:$B$37,2,0)</f>
        <v xml:space="preserve"> Chhattisgarh</v>
      </c>
      <c r="C267" t="s">
        <v>130</v>
      </c>
      <c r="D267" s="5">
        <v>4239</v>
      </c>
      <c r="E267" s="5">
        <v>771</v>
      </c>
      <c r="F267" s="5">
        <v>771</v>
      </c>
      <c r="G267" s="5">
        <v>2671</v>
      </c>
      <c r="H267" s="4">
        <v>42353610</v>
      </c>
      <c r="I267" s="5">
        <f>pmsurya[[#This Row],[applications]]-pmsurya[[#This Row],[installations]]</f>
        <v>3468</v>
      </c>
      <c r="J267" s="6">
        <f>(pmsurya[[#This Row],[installations]]/pmsurya[[#This Row],[applications]])</f>
        <v>0.18188251946213729</v>
      </c>
    </row>
    <row r="268" spans="1:10" x14ac:dyDescent="0.3">
      <c r="A268" s="3" t="s">
        <v>0</v>
      </c>
      <c r="B268" t="str">
        <f>VLOOKUP(pmsurya[[#This Row],[state]],State!$A$2:$B$37,2,0)</f>
        <v xml:space="preserve"> Chhattisgarh</v>
      </c>
      <c r="C268" t="s">
        <v>131</v>
      </c>
      <c r="D268" s="5">
        <v>7316</v>
      </c>
      <c r="E268" s="5">
        <v>1260</v>
      </c>
      <c r="F268" s="5">
        <v>1260</v>
      </c>
      <c r="G268" s="5">
        <v>4174</v>
      </c>
      <c r="H268" s="4">
        <v>67716600</v>
      </c>
      <c r="I268" s="5">
        <f>pmsurya[[#This Row],[applications]]-pmsurya[[#This Row],[installations]]</f>
        <v>6056</v>
      </c>
      <c r="J268" s="6">
        <f>(pmsurya[[#This Row],[installations]]/pmsurya[[#This Row],[applications]])</f>
        <v>0.17222525970475669</v>
      </c>
    </row>
    <row r="269" spans="1:10" x14ac:dyDescent="0.3">
      <c r="A269" s="3" t="s">
        <v>0</v>
      </c>
      <c r="B269" t="str">
        <f>VLOOKUP(pmsurya[[#This Row],[state]],State!$A$2:$B$37,2,0)</f>
        <v xml:space="preserve"> Chhattisgarh</v>
      </c>
      <c r="C269" t="s">
        <v>132</v>
      </c>
      <c r="D269" s="5">
        <v>363</v>
      </c>
      <c r="E269" s="5">
        <v>31</v>
      </c>
      <c r="F269" s="5">
        <v>31</v>
      </c>
      <c r="G269" s="5">
        <v>111</v>
      </c>
      <c r="H269" s="4">
        <v>1935600</v>
      </c>
      <c r="I269" s="5">
        <f>pmsurya[[#This Row],[applications]]-pmsurya[[#This Row],[installations]]</f>
        <v>332</v>
      </c>
      <c r="J269" s="6">
        <f>(pmsurya[[#This Row],[installations]]/pmsurya[[#This Row],[applications]])</f>
        <v>8.5399449035812675E-2</v>
      </c>
    </row>
    <row r="270" spans="1:10" x14ac:dyDescent="0.3">
      <c r="A270" s="3" t="s">
        <v>0</v>
      </c>
      <c r="B270" t="str">
        <f>VLOOKUP(pmsurya[[#This Row],[state]],State!$A$2:$B$37,2,0)</f>
        <v xml:space="preserve"> Chhattisgarh</v>
      </c>
      <c r="C270" t="s">
        <v>133</v>
      </c>
      <c r="D270" s="5">
        <v>10642</v>
      </c>
      <c r="E270" s="5">
        <v>4730</v>
      </c>
      <c r="F270" s="5">
        <v>4731</v>
      </c>
      <c r="G270" s="5">
        <v>17671</v>
      </c>
      <c r="H270" s="4">
        <v>258303930</v>
      </c>
      <c r="I270" s="5">
        <f>pmsurya[[#This Row],[applications]]-pmsurya[[#This Row],[installations]]</f>
        <v>5912</v>
      </c>
      <c r="J270" s="6">
        <f>(pmsurya[[#This Row],[installations]]/pmsurya[[#This Row],[applications]])</f>
        <v>0.44446532606652883</v>
      </c>
    </row>
    <row r="271" spans="1:10" x14ac:dyDescent="0.3">
      <c r="A271" s="3" t="s">
        <v>0</v>
      </c>
      <c r="B271" t="str">
        <f>VLOOKUP(pmsurya[[#This Row],[state]],State!$A$2:$B$37,2,0)</f>
        <v xml:space="preserve"> Chhattisgarh</v>
      </c>
      <c r="C271" t="s">
        <v>134</v>
      </c>
      <c r="D271" s="5">
        <v>640</v>
      </c>
      <c r="E271" s="5">
        <v>0</v>
      </c>
      <c r="F271" s="5">
        <v>0</v>
      </c>
      <c r="G271" s="5">
        <v>0</v>
      </c>
      <c r="H271" s="4">
        <v>0</v>
      </c>
      <c r="I271" s="5">
        <f>pmsurya[[#This Row],[applications]]-pmsurya[[#This Row],[installations]]</f>
        <v>640</v>
      </c>
      <c r="J271" s="6">
        <f>(pmsurya[[#This Row],[installations]]/pmsurya[[#This Row],[applications]])</f>
        <v>0</v>
      </c>
    </row>
    <row r="272" spans="1:10" x14ac:dyDescent="0.3">
      <c r="A272" s="3" t="s">
        <v>0</v>
      </c>
      <c r="B272" t="str">
        <f>VLOOKUP(pmsurya[[#This Row],[state]],State!$A$2:$B$37,2,0)</f>
        <v xml:space="preserve"> Chhattisgarh</v>
      </c>
      <c r="C272" t="s">
        <v>135</v>
      </c>
      <c r="D272" s="5">
        <v>600</v>
      </c>
      <c r="E272" s="5">
        <v>77</v>
      </c>
      <c r="F272" s="5">
        <v>77</v>
      </c>
      <c r="G272" s="5">
        <v>281</v>
      </c>
      <c r="H272" s="4">
        <v>3104520</v>
      </c>
      <c r="I272" s="5">
        <f>pmsurya[[#This Row],[applications]]-pmsurya[[#This Row],[installations]]</f>
        <v>523</v>
      </c>
      <c r="J272" s="6">
        <f>(pmsurya[[#This Row],[installations]]/pmsurya[[#This Row],[applications]])</f>
        <v>0.12833333333333333</v>
      </c>
    </row>
    <row r="273" spans="1:10" x14ac:dyDescent="0.3">
      <c r="A273" s="3" t="s">
        <v>0</v>
      </c>
      <c r="B273" t="str">
        <f>VLOOKUP(pmsurya[[#This Row],[state]],State!$A$2:$B$37,2,0)</f>
        <v xml:space="preserve"> Chhattisgarh</v>
      </c>
      <c r="C273" t="s">
        <v>136</v>
      </c>
      <c r="D273" s="5">
        <v>13614</v>
      </c>
      <c r="E273" s="5">
        <v>3266</v>
      </c>
      <c r="F273" s="5">
        <v>3266</v>
      </c>
      <c r="G273" s="5">
        <v>11161</v>
      </c>
      <c r="H273" s="4">
        <v>184298730</v>
      </c>
      <c r="I273" s="5">
        <f>pmsurya[[#This Row],[applications]]-pmsurya[[#This Row],[installations]]</f>
        <v>10348</v>
      </c>
      <c r="J273" s="6">
        <f>(pmsurya[[#This Row],[installations]]/pmsurya[[#This Row],[applications]])</f>
        <v>0.2399001028353166</v>
      </c>
    </row>
    <row r="274" spans="1:10" x14ac:dyDescent="0.3">
      <c r="A274" s="3" t="s">
        <v>0</v>
      </c>
      <c r="B274" t="str">
        <f>VLOOKUP(pmsurya[[#This Row],[state]],State!$A$2:$B$37,2,0)</f>
        <v xml:space="preserve"> Chhattisgarh</v>
      </c>
      <c r="C274" t="s">
        <v>137</v>
      </c>
      <c r="D274" s="5">
        <v>17277</v>
      </c>
      <c r="E274" s="5">
        <v>9889</v>
      </c>
      <c r="F274" s="5">
        <v>11061</v>
      </c>
      <c r="G274" s="5">
        <v>36926</v>
      </c>
      <c r="H274" s="4">
        <v>578566590</v>
      </c>
      <c r="I274" s="5">
        <f>pmsurya[[#This Row],[applications]]-pmsurya[[#This Row],[installations]]</f>
        <v>7388</v>
      </c>
      <c r="J274" s="6">
        <f>(pmsurya[[#This Row],[installations]]/pmsurya[[#This Row],[applications]])</f>
        <v>0.57237946402731954</v>
      </c>
    </row>
    <row r="275" spans="1:10" x14ac:dyDescent="0.3">
      <c r="A275" s="3" t="s">
        <v>0</v>
      </c>
      <c r="B275" t="str">
        <f>VLOOKUP(pmsurya[[#This Row],[state]],State!$A$2:$B$37,2,0)</f>
        <v xml:space="preserve"> Chhattisgarh</v>
      </c>
      <c r="C275" t="s">
        <v>138</v>
      </c>
      <c r="D275" s="5">
        <v>3959</v>
      </c>
      <c r="E275" s="5">
        <v>1573</v>
      </c>
      <c r="F275" s="5">
        <v>1783</v>
      </c>
      <c r="G275" s="5">
        <v>5156</v>
      </c>
      <c r="H275" s="4">
        <v>84994620</v>
      </c>
      <c r="I275" s="5">
        <f>pmsurya[[#This Row],[applications]]-pmsurya[[#This Row],[installations]]</f>
        <v>2386</v>
      </c>
      <c r="J275" s="6">
        <f>(pmsurya[[#This Row],[installations]]/pmsurya[[#This Row],[applications]])</f>
        <v>0.39732255620106088</v>
      </c>
    </row>
    <row r="276" spans="1:10" x14ac:dyDescent="0.3">
      <c r="A276" s="3" t="s">
        <v>0</v>
      </c>
      <c r="B276" t="str">
        <f>VLOOKUP(pmsurya[[#This Row],[state]],State!$A$2:$B$37,2,0)</f>
        <v xml:space="preserve"> Chhattisgarh</v>
      </c>
      <c r="C276" t="s">
        <v>139</v>
      </c>
      <c r="D276" s="5">
        <v>1507</v>
      </c>
      <c r="E276" s="5">
        <v>205</v>
      </c>
      <c r="F276" s="5">
        <v>205</v>
      </c>
      <c r="G276" s="5">
        <v>705</v>
      </c>
      <c r="H276" s="4">
        <v>9451440</v>
      </c>
      <c r="I276" s="5">
        <f>pmsurya[[#This Row],[applications]]-pmsurya[[#This Row],[installations]]</f>
        <v>1302</v>
      </c>
      <c r="J276" s="6">
        <f>(pmsurya[[#This Row],[installations]]/pmsurya[[#This Row],[applications]])</f>
        <v>0.13603185136031851</v>
      </c>
    </row>
    <row r="277" spans="1:10" x14ac:dyDescent="0.3">
      <c r="A277" s="3" t="s">
        <v>0</v>
      </c>
      <c r="B277" t="str">
        <f>VLOOKUP(pmsurya[[#This Row],[state]],State!$A$2:$B$37,2,0)</f>
        <v xml:space="preserve"> Chhattisgarh</v>
      </c>
      <c r="C277" t="s">
        <v>140</v>
      </c>
      <c r="D277" s="5">
        <v>5757</v>
      </c>
      <c r="E277" s="5">
        <v>2479</v>
      </c>
      <c r="F277" s="5">
        <v>2479</v>
      </c>
      <c r="G277" s="5">
        <v>8580</v>
      </c>
      <c r="H277" s="4">
        <v>138994530</v>
      </c>
      <c r="I277" s="5">
        <f>pmsurya[[#This Row],[applications]]-pmsurya[[#This Row],[installations]]</f>
        <v>3278</v>
      </c>
      <c r="J277" s="6">
        <f>(pmsurya[[#This Row],[installations]]/pmsurya[[#This Row],[applications]])</f>
        <v>0.43060621851658848</v>
      </c>
    </row>
    <row r="278" spans="1:10" x14ac:dyDescent="0.3">
      <c r="A278" s="3" t="s">
        <v>0</v>
      </c>
      <c r="B278" t="str">
        <f>VLOOKUP(pmsurya[[#This Row],[state]],State!$A$2:$B$37,2,0)</f>
        <v xml:space="preserve"> Chhattisgarh</v>
      </c>
      <c r="C278" t="s">
        <v>141</v>
      </c>
      <c r="D278" s="5">
        <v>2152</v>
      </c>
      <c r="E278" s="5">
        <v>458</v>
      </c>
      <c r="F278" s="5">
        <v>458</v>
      </c>
      <c r="G278" s="5">
        <v>1553</v>
      </c>
      <c r="H278" s="4">
        <v>19074930</v>
      </c>
      <c r="I278" s="5">
        <f>pmsurya[[#This Row],[applications]]-pmsurya[[#This Row],[installations]]</f>
        <v>1694</v>
      </c>
      <c r="J278" s="6">
        <f>(pmsurya[[#This Row],[installations]]/pmsurya[[#This Row],[applications]])</f>
        <v>0.21282527881040891</v>
      </c>
    </row>
    <row r="279" spans="1:10" x14ac:dyDescent="0.3">
      <c r="A279" s="3" t="s">
        <v>0</v>
      </c>
      <c r="B279" t="str">
        <f>VLOOKUP(pmsurya[[#This Row],[state]],State!$A$2:$B$37,2,0)</f>
        <v xml:space="preserve"> Chhattisgarh</v>
      </c>
      <c r="C279" t="s">
        <v>142</v>
      </c>
      <c r="D279" s="5">
        <v>2957</v>
      </c>
      <c r="E279" s="5">
        <v>484</v>
      </c>
      <c r="F279" s="5">
        <v>484</v>
      </c>
      <c r="G279" s="5">
        <v>1651</v>
      </c>
      <c r="H279" s="4">
        <v>20560680</v>
      </c>
      <c r="I279" s="5">
        <f>pmsurya[[#This Row],[applications]]-pmsurya[[#This Row],[installations]]</f>
        <v>2473</v>
      </c>
      <c r="J279" s="6">
        <f>(pmsurya[[#This Row],[installations]]/pmsurya[[#This Row],[applications]])</f>
        <v>0.16367940480216436</v>
      </c>
    </row>
    <row r="280" spans="1:10" x14ac:dyDescent="0.3">
      <c r="A280" s="3" t="s">
        <v>0</v>
      </c>
      <c r="B280" t="str">
        <f>VLOOKUP(pmsurya[[#This Row],[state]],State!$A$2:$B$37,2,0)</f>
        <v xml:space="preserve"> Chhattisgarh</v>
      </c>
      <c r="C280" t="s">
        <v>143</v>
      </c>
      <c r="D280" s="5">
        <v>2888</v>
      </c>
      <c r="E280" s="5">
        <v>1080</v>
      </c>
      <c r="F280" s="5">
        <v>1080</v>
      </c>
      <c r="G280" s="5">
        <v>3657</v>
      </c>
      <c r="H280" s="4">
        <v>41592810</v>
      </c>
      <c r="I280" s="5">
        <f>pmsurya[[#This Row],[applications]]-pmsurya[[#This Row],[installations]]</f>
        <v>1808</v>
      </c>
      <c r="J280" s="6">
        <f>(pmsurya[[#This Row],[installations]]/pmsurya[[#This Row],[applications]])</f>
        <v>0.37396121883656508</v>
      </c>
    </row>
    <row r="281" spans="1:10" x14ac:dyDescent="0.3">
      <c r="A281" s="3" t="s">
        <v>0</v>
      </c>
      <c r="B281" t="str">
        <f>VLOOKUP(pmsurya[[#This Row],[state]],State!$A$2:$B$37,2,0)</f>
        <v xml:space="preserve"> Chhattisgarh</v>
      </c>
      <c r="C281" t="s">
        <v>144</v>
      </c>
      <c r="D281" s="5">
        <v>2367</v>
      </c>
      <c r="E281" s="5">
        <v>487</v>
      </c>
      <c r="F281" s="5">
        <v>487</v>
      </c>
      <c r="G281" s="5">
        <v>1655</v>
      </c>
      <c r="H281" s="4">
        <v>25050840</v>
      </c>
      <c r="I281" s="5">
        <f>pmsurya[[#This Row],[applications]]-pmsurya[[#This Row],[installations]]</f>
        <v>1880</v>
      </c>
      <c r="J281" s="6">
        <f>(pmsurya[[#This Row],[installations]]/pmsurya[[#This Row],[applications]])</f>
        <v>0.20574566962399662</v>
      </c>
    </row>
    <row r="282" spans="1:10" x14ac:dyDescent="0.3">
      <c r="A282" s="3" t="s">
        <v>0</v>
      </c>
      <c r="B282" t="str">
        <f>VLOOKUP(pmsurya[[#This Row],[state]],State!$A$2:$B$37,2,0)</f>
        <v xml:space="preserve"> Chhattisgarh</v>
      </c>
      <c r="C282" t="s">
        <v>145</v>
      </c>
      <c r="D282" s="5">
        <v>5159</v>
      </c>
      <c r="E282" s="5">
        <v>1301</v>
      </c>
      <c r="F282" s="5">
        <v>1301</v>
      </c>
      <c r="G282" s="5">
        <v>4362</v>
      </c>
      <c r="H282" s="4">
        <v>68402520</v>
      </c>
      <c r="I282" s="5">
        <f>pmsurya[[#This Row],[applications]]-pmsurya[[#This Row],[installations]]</f>
        <v>3858</v>
      </c>
      <c r="J282" s="6">
        <f>(pmsurya[[#This Row],[installations]]/pmsurya[[#This Row],[applications]])</f>
        <v>0.25218065516572979</v>
      </c>
    </row>
    <row r="283" spans="1:10" x14ac:dyDescent="0.3">
      <c r="A283" s="3" t="s">
        <v>0</v>
      </c>
      <c r="B283" t="str">
        <f>VLOOKUP(pmsurya[[#This Row],[state]],State!$A$2:$B$37,2,0)</f>
        <v xml:space="preserve"> Chhattisgarh</v>
      </c>
      <c r="C283" t="s">
        <v>146</v>
      </c>
      <c r="D283" s="5">
        <v>9656</v>
      </c>
      <c r="E283" s="5">
        <v>1790</v>
      </c>
      <c r="F283" s="5">
        <v>1790</v>
      </c>
      <c r="G283" s="5">
        <v>6229</v>
      </c>
      <c r="H283" s="4">
        <v>97780920</v>
      </c>
      <c r="I283" s="5">
        <f>pmsurya[[#This Row],[applications]]-pmsurya[[#This Row],[installations]]</f>
        <v>7866</v>
      </c>
      <c r="J283" s="6">
        <f>(pmsurya[[#This Row],[installations]]/pmsurya[[#This Row],[applications]])</f>
        <v>0.18537696768848386</v>
      </c>
    </row>
    <row r="284" spans="1:10" x14ac:dyDescent="0.3">
      <c r="A284" s="3" t="s">
        <v>0</v>
      </c>
      <c r="B284" t="str">
        <f>VLOOKUP(pmsurya[[#This Row],[state]],State!$A$2:$B$37,2,0)</f>
        <v xml:space="preserve"> Chhattisgarh</v>
      </c>
      <c r="C284" t="s">
        <v>147</v>
      </c>
      <c r="D284" s="5">
        <v>971</v>
      </c>
      <c r="E284" s="5">
        <v>289</v>
      </c>
      <c r="F284" s="5">
        <v>289</v>
      </c>
      <c r="G284" s="5">
        <v>996</v>
      </c>
      <c r="H284" s="4">
        <v>16529940</v>
      </c>
      <c r="I284" s="5">
        <f>pmsurya[[#This Row],[applications]]-pmsurya[[#This Row],[installations]]</f>
        <v>682</v>
      </c>
      <c r="J284" s="6">
        <f>(pmsurya[[#This Row],[installations]]/pmsurya[[#This Row],[applications]])</f>
        <v>0.29763130792996911</v>
      </c>
    </row>
    <row r="285" spans="1:10" x14ac:dyDescent="0.3">
      <c r="A285" s="3" t="s">
        <v>0</v>
      </c>
      <c r="B285" t="str">
        <f>VLOOKUP(pmsurya[[#This Row],[state]],State!$A$2:$B$37,2,0)</f>
        <v xml:space="preserve"> Chhattisgarh</v>
      </c>
      <c r="C285" t="s">
        <v>148</v>
      </c>
      <c r="D285" s="5">
        <v>8783</v>
      </c>
      <c r="E285" s="5">
        <v>3758</v>
      </c>
      <c r="F285" s="5">
        <v>3758</v>
      </c>
      <c r="G285" s="5">
        <v>12765</v>
      </c>
      <c r="H285" s="4">
        <v>224943000</v>
      </c>
      <c r="I285" s="5">
        <f>pmsurya[[#This Row],[applications]]-pmsurya[[#This Row],[installations]]</f>
        <v>5025</v>
      </c>
      <c r="J285" s="6">
        <f>(pmsurya[[#This Row],[installations]]/pmsurya[[#This Row],[applications]])</f>
        <v>0.4278720255038142</v>
      </c>
    </row>
    <row r="286" spans="1:10" x14ac:dyDescent="0.3">
      <c r="A286" s="3" t="s">
        <v>0</v>
      </c>
      <c r="B286" t="str">
        <f>VLOOKUP(pmsurya[[#This Row],[state]],State!$A$2:$B$37,2,0)</f>
        <v xml:space="preserve"> Chhattisgarh</v>
      </c>
      <c r="C286" t="s">
        <v>149</v>
      </c>
      <c r="D286" s="5">
        <v>363</v>
      </c>
      <c r="E286" s="5">
        <v>170</v>
      </c>
      <c r="F286" s="5">
        <v>170</v>
      </c>
      <c r="G286" s="5">
        <v>613</v>
      </c>
      <c r="H286" s="4">
        <v>7709760</v>
      </c>
      <c r="I286" s="5">
        <f>pmsurya[[#This Row],[applications]]-pmsurya[[#This Row],[installations]]</f>
        <v>193</v>
      </c>
      <c r="J286" s="6">
        <f>(pmsurya[[#This Row],[installations]]/pmsurya[[#This Row],[applications]])</f>
        <v>0.46831955922865015</v>
      </c>
    </row>
    <row r="287" spans="1:10" x14ac:dyDescent="0.3">
      <c r="A287" s="3" t="s">
        <v>0</v>
      </c>
      <c r="B287" t="str">
        <f>VLOOKUP(pmsurya[[#This Row],[state]],State!$A$2:$B$37,2,0)</f>
        <v xml:space="preserve"> Chhattisgarh</v>
      </c>
      <c r="C287" t="s">
        <v>150</v>
      </c>
      <c r="D287" s="5">
        <v>5146</v>
      </c>
      <c r="E287" s="5">
        <v>199</v>
      </c>
      <c r="F287" s="5">
        <v>199</v>
      </c>
      <c r="G287" s="5">
        <v>686</v>
      </c>
      <c r="H287" s="4">
        <v>10077000</v>
      </c>
      <c r="I287" s="5">
        <f>pmsurya[[#This Row],[applications]]-pmsurya[[#This Row],[installations]]</f>
        <v>4947</v>
      </c>
      <c r="J287" s="6">
        <f>(pmsurya[[#This Row],[installations]]/pmsurya[[#This Row],[applications]])</f>
        <v>3.8670812281383596E-2</v>
      </c>
    </row>
    <row r="288" spans="1:10" x14ac:dyDescent="0.3">
      <c r="A288" s="3" t="s">
        <v>0</v>
      </c>
      <c r="B288" t="str">
        <f>VLOOKUP(pmsurya[[#This Row],[state]],State!$A$2:$B$37,2,0)</f>
        <v xml:space="preserve"> Chhattisgarh</v>
      </c>
      <c r="C288" t="s">
        <v>151</v>
      </c>
      <c r="D288" s="5">
        <v>14932</v>
      </c>
      <c r="E288" s="5">
        <v>886</v>
      </c>
      <c r="F288" s="5">
        <v>886</v>
      </c>
      <c r="G288" s="5">
        <v>2939</v>
      </c>
      <c r="H288" s="4">
        <v>36560580</v>
      </c>
      <c r="I288" s="5">
        <f>pmsurya[[#This Row],[applications]]-pmsurya[[#This Row],[installations]]</f>
        <v>14046</v>
      </c>
      <c r="J288" s="6">
        <f>(pmsurya[[#This Row],[installations]]/pmsurya[[#This Row],[applications]])</f>
        <v>5.9335654969193678E-2</v>
      </c>
    </row>
    <row r="289" spans="1:10" x14ac:dyDescent="0.3">
      <c r="A289" s="3" t="s">
        <v>0</v>
      </c>
      <c r="B289" t="str">
        <f>VLOOKUP(pmsurya[[#This Row],[state]],State!$A$2:$B$37,2,0)</f>
        <v xml:space="preserve"> Chhattisgarh</v>
      </c>
      <c r="C289" t="s">
        <v>152</v>
      </c>
      <c r="D289" s="5">
        <v>571</v>
      </c>
      <c r="E289" s="5">
        <v>194</v>
      </c>
      <c r="F289" s="5">
        <v>194</v>
      </c>
      <c r="G289" s="5">
        <v>678</v>
      </c>
      <c r="H289" s="4">
        <v>11028120</v>
      </c>
      <c r="I289" s="5">
        <f>pmsurya[[#This Row],[applications]]-pmsurya[[#This Row],[installations]]</f>
        <v>377</v>
      </c>
      <c r="J289" s="6">
        <f>(pmsurya[[#This Row],[installations]]/pmsurya[[#This Row],[applications]])</f>
        <v>0.33975481611208408</v>
      </c>
    </row>
    <row r="290" spans="1:10" x14ac:dyDescent="0.3">
      <c r="A290" s="3" t="s">
        <v>0</v>
      </c>
      <c r="B290" t="str">
        <f>VLOOKUP(pmsurya[[#This Row],[state]],State!$A$2:$B$37,2,0)</f>
        <v xml:space="preserve"> Chhattisgarh</v>
      </c>
      <c r="C290" t="s">
        <v>153</v>
      </c>
      <c r="D290" s="5">
        <v>7125</v>
      </c>
      <c r="E290" s="5">
        <v>2905</v>
      </c>
      <c r="F290" s="5">
        <v>2905</v>
      </c>
      <c r="G290" s="5">
        <v>10349</v>
      </c>
      <c r="H290" s="4">
        <v>163891920</v>
      </c>
      <c r="I290" s="5">
        <f>pmsurya[[#This Row],[applications]]-pmsurya[[#This Row],[installations]]</f>
        <v>4220</v>
      </c>
      <c r="J290" s="6">
        <f>(pmsurya[[#This Row],[installations]]/pmsurya[[#This Row],[applications]])</f>
        <v>0.40771929824561404</v>
      </c>
    </row>
    <row r="291" spans="1:10" x14ac:dyDescent="0.3">
      <c r="A291" s="3" t="s">
        <v>0</v>
      </c>
      <c r="B291" t="str">
        <f>VLOOKUP(pmsurya[[#This Row],[state]],State!$A$2:$B$37,2,0)</f>
        <v xml:space="preserve"> Chhattisgarh</v>
      </c>
      <c r="C291" t="s">
        <v>154</v>
      </c>
      <c r="D291" s="5">
        <v>30479</v>
      </c>
      <c r="E291" s="5">
        <v>14856</v>
      </c>
      <c r="F291" s="5">
        <v>15616</v>
      </c>
      <c r="G291" s="5">
        <v>56336</v>
      </c>
      <c r="H291" s="4">
        <v>837979980</v>
      </c>
      <c r="I291" s="5">
        <f>pmsurya[[#This Row],[applications]]-pmsurya[[#This Row],[installations]]</f>
        <v>15623</v>
      </c>
      <c r="J291" s="6">
        <f>(pmsurya[[#This Row],[installations]]/pmsurya[[#This Row],[applications]])</f>
        <v>0.48741756619311655</v>
      </c>
    </row>
    <row r="292" spans="1:10" x14ac:dyDescent="0.3">
      <c r="A292" s="3" t="s">
        <v>0</v>
      </c>
      <c r="B292" t="str">
        <f>VLOOKUP(pmsurya[[#This Row],[state]],State!$A$2:$B$37,2,0)</f>
        <v xml:space="preserve"> Chhattisgarh</v>
      </c>
      <c r="C292" t="s">
        <v>155</v>
      </c>
      <c r="D292" s="5">
        <v>6914</v>
      </c>
      <c r="E292" s="5">
        <v>3306</v>
      </c>
      <c r="F292" s="5">
        <v>3306</v>
      </c>
      <c r="G292" s="5">
        <v>11786</v>
      </c>
      <c r="H292" s="4">
        <v>175016160</v>
      </c>
      <c r="I292" s="5">
        <f>pmsurya[[#This Row],[applications]]-pmsurya[[#This Row],[installations]]</f>
        <v>3608</v>
      </c>
      <c r="J292" s="6">
        <f>(pmsurya[[#This Row],[installations]]/pmsurya[[#This Row],[applications]])</f>
        <v>0.47816025455597339</v>
      </c>
    </row>
    <row r="293" spans="1:10" x14ac:dyDescent="0.3">
      <c r="A293" s="3" t="s">
        <v>0</v>
      </c>
      <c r="B293" t="str">
        <f>VLOOKUP(pmsurya[[#This Row],[state]],State!$A$2:$B$37,2,0)</f>
        <v xml:space="preserve"> Chhattisgarh</v>
      </c>
      <c r="C293" t="s">
        <v>156</v>
      </c>
      <c r="D293" s="5">
        <v>1338</v>
      </c>
      <c r="E293" s="5">
        <v>566</v>
      </c>
      <c r="F293" s="5">
        <v>566</v>
      </c>
      <c r="G293" s="5">
        <v>1979</v>
      </c>
      <c r="H293" s="4">
        <v>32140380</v>
      </c>
      <c r="I293" s="5">
        <f>pmsurya[[#This Row],[applications]]-pmsurya[[#This Row],[installations]]</f>
        <v>772</v>
      </c>
      <c r="J293" s="6">
        <f>(pmsurya[[#This Row],[installations]]/pmsurya[[#This Row],[applications]])</f>
        <v>0.42301943198804187</v>
      </c>
    </row>
    <row r="294" spans="1:10" x14ac:dyDescent="0.3">
      <c r="A294" s="3" t="s">
        <v>0</v>
      </c>
      <c r="B294" t="str">
        <f>VLOOKUP(pmsurya[[#This Row],[state]],State!$A$2:$B$37,2,0)</f>
        <v xml:space="preserve"> Chhattisgarh</v>
      </c>
      <c r="C294" t="s">
        <v>157</v>
      </c>
      <c r="D294" s="5">
        <v>10632</v>
      </c>
      <c r="E294" s="5">
        <v>1724</v>
      </c>
      <c r="F294" s="5">
        <v>1724</v>
      </c>
      <c r="G294" s="5">
        <v>5750</v>
      </c>
      <c r="H294" s="4">
        <v>93458460</v>
      </c>
      <c r="I294" s="5">
        <f>pmsurya[[#This Row],[applications]]-pmsurya[[#This Row],[installations]]</f>
        <v>8908</v>
      </c>
      <c r="J294" s="6">
        <f>(pmsurya[[#This Row],[installations]]/pmsurya[[#This Row],[applications]])</f>
        <v>0.16215199398043642</v>
      </c>
    </row>
    <row r="295" spans="1:10" x14ac:dyDescent="0.3">
      <c r="A295" s="3" t="s">
        <v>0</v>
      </c>
      <c r="B295" t="str">
        <f>VLOOKUP(pmsurya[[#This Row],[state]],State!$A$2:$B$37,2,0)</f>
        <v xml:space="preserve"> Chhattisgarh</v>
      </c>
      <c r="C295" t="s">
        <v>158</v>
      </c>
      <c r="D295" s="5">
        <v>326</v>
      </c>
      <c r="E295" s="5">
        <v>86</v>
      </c>
      <c r="F295" s="5">
        <v>86</v>
      </c>
      <c r="G295" s="5">
        <v>293</v>
      </c>
      <c r="H295" s="4">
        <v>3978000</v>
      </c>
      <c r="I295" s="5">
        <f>pmsurya[[#This Row],[applications]]-pmsurya[[#This Row],[installations]]</f>
        <v>240</v>
      </c>
      <c r="J295" s="6">
        <f>(pmsurya[[#This Row],[installations]]/pmsurya[[#This Row],[applications]])</f>
        <v>0.26380368098159507</v>
      </c>
    </row>
    <row r="296" spans="1:10" x14ac:dyDescent="0.3">
      <c r="A296" s="3" t="s">
        <v>0</v>
      </c>
      <c r="B296" t="str">
        <f>VLOOKUP(pmsurya[[#This Row],[state]],State!$A$2:$B$37,2,0)</f>
        <v xml:space="preserve"> Chhattisgarh</v>
      </c>
      <c r="C296" t="s">
        <v>159</v>
      </c>
      <c r="D296" s="5">
        <v>1107</v>
      </c>
      <c r="E296" s="5">
        <v>258</v>
      </c>
      <c r="F296" s="5">
        <v>258</v>
      </c>
      <c r="G296" s="5">
        <v>874</v>
      </c>
      <c r="H296" s="4">
        <v>12038820</v>
      </c>
      <c r="I296" s="5">
        <f>pmsurya[[#This Row],[applications]]-pmsurya[[#This Row],[installations]]</f>
        <v>849</v>
      </c>
      <c r="J296" s="6">
        <f>(pmsurya[[#This Row],[installations]]/pmsurya[[#This Row],[applications]])</f>
        <v>0.23306233062330622</v>
      </c>
    </row>
    <row r="297" spans="1:10" x14ac:dyDescent="0.3">
      <c r="A297" s="3" t="s">
        <v>0</v>
      </c>
      <c r="B297" t="str">
        <f>VLOOKUP(pmsurya[[#This Row],[state]],State!$A$2:$B$37,2,0)</f>
        <v xml:space="preserve"> Chhattisgarh</v>
      </c>
      <c r="C297" t="s">
        <v>160</v>
      </c>
      <c r="D297" s="5">
        <v>2997</v>
      </c>
      <c r="E297" s="5">
        <v>1224</v>
      </c>
      <c r="F297" s="5">
        <v>1224</v>
      </c>
      <c r="G297" s="5">
        <v>4442</v>
      </c>
      <c r="H297" s="4">
        <v>67532730</v>
      </c>
      <c r="I297" s="5">
        <f>pmsurya[[#This Row],[applications]]-pmsurya[[#This Row],[installations]]</f>
        <v>1773</v>
      </c>
      <c r="J297" s="6">
        <f>(pmsurya[[#This Row],[installations]]/pmsurya[[#This Row],[applications]])</f>
        <v>0.40840840840840842</v>
      </c>
    </row>
    <row r="298" spans="1:10" x14ac:dyDescent="0.3">
      <c r="A298" s="3" t="s">
        <v>0</v>
      </c>
      <c r="B298" t="str">
        <f>VLOOKUP(pmsurya[[#This Row],[state]],State!$A$2:$B$37,2,0)</f>
        <v xml:space="preserve"> Chhattisgarh</v>
      </c>
      <c r="C298" t="s">
        <v>161</v>
      </c>
      <c r="D298" s="5">
        <v>2295</v>
      </c>
      <c r="E298" s="5">
        <v>0</v>
      </c>
      <c r="F298" s="5">
        <v>0</v>
      </c>
      <c r="G298" s="5">
        <v>0</v>
      </c>
      <c r="H298" s="4">
        <v>0</v>
      </c>
      <c r="I298" s="5">
        <f>pmsurya[[#This Row],[applications]]-pmsurya[[#This Row],[installations]]</f>
        <v>2295</v>
      </c>
      <c r="J298" s="6">
        <f>(pmsurya[[#This Row],[installations]]/pmsurya[[#This Row],[applications]])</f>
        <v>0</v>
      </c>
    </row>
    <row r="299" spans="1:10" x14ac:dyDescent="0.3">
      <c r="A299" s="3" t="s">
        <v>306</v>
      </c>
      <c r="B299" t="str">
        <f>VLOOKUP(pmsurya[[#This Row],[state]],State!$A$2:$B$37,2,0)</f>
        <v xml:space="preserve"> Madhya Pradesh</v>
      </c>
      <c r="C299" t="s">
        <v>307</v>
      </c>
      <c r="D299" s="5">
        <v>673</v>
      </c>
      <c r="E299" s="5">
        <v>312</v>
      </c>
      <c r="F299" s="5">
        <v>312</v>
      </c>
      <c r="G299" s="5">
        <v>1152</v>
      </c>
      <c r="H299" s="4">
        <v>19694400</v>
      </c>
      <c r="I299" s="5">
        <f>pmsurya[[#This Row],[applications]]-pmsurya[[#This Row],[installations]]</f>
        <v>361</v>
      </c>
      <c r="J299" s="6">
        <f>(pmsurya[[#This Row],[installations]]/pmsurya[[#This Row],[applications]])</f>
        <v>0.46359583952451711</v>
      </c>
    </row>
    <row r="300" spans="1:10" x14ac:dyDescent="0.3">
      <c r="A300" s="3" t="s">
        <v>306</v>
      </c>
      <c r="B300" t="str">
        <f>VLOOKUP(pmsurya[[#This Row],[state]],State!$A$2:$B$37,2,0)</f>
        <v xml:space="preserve"> Madhya Pradesh</v>
      </c>
      <c r="C300" t="s">
        <v>308</v>
      </c>
      <c r="D300" s="5">
        <v>1109</v>
      </c>
      <c r="E300" s="5">
        <v>322</v>
      </c>
      <c r="F300" s="5">
        <v>322</v>
      </c>
      <c r="G300" s="5">
        <v>1214</v>
      </c>
      <c r="H300" s="4">
        <v>21286800</v>
      </c>
      <c r="I300" s="5">
        <f>pmsurya[[#This Row],[applications]]-pmsurya[[#This Row],[installations]]</f>
        <v>787</v>
      </c>
      <c r="J300" s="6">
        <f>(pmsurya[[#This Row],[installations]]/pmsurya[[#This Row],[applications]])</f>
        <v>0.29035166816952207</v>
      </c>
    </row>
    <row r="301" spans="1:10" x14ac:dyDescent="0.3">
      <c r="A301" s="3" t="s">
        <v>306</v>
      </c>
      <c r="B301" t="str">
        <f>VLOOKUP(pmsurya[[#This Row],[state]],State!$A$2:$B$37,2,0)</f>
        <v xml:space="preserve"> Madhya Pradesh</v>
      </c>
      <c r="C301" t="s">
        <v>309</v>
      </c>
      <c r="D301" s="5">
        <v>292</v>
      </c>
      <c r="E301" s="5">
        <v>135</v>
      </c>
      <c r="F301" s="5">
        <v>135</v>
      </c>
      <c r="G301" s="5">
        <v>465</v>
      </c>
      <c r="H301" s="4">
        <v>8304060</v>
      </c>
      <c r="I301" s="5">
        <f>pmsurya[[#This Row],[applications]]-pmsurya[[#This Row],[installations]]</f>
        <v>157</v>
      </c>
      <c r="J301" s="6">
        <f>(pmsurya[[#This Row],[installations]]/pmsurya[[#This Row],[applications]])</f>
        <v>0.46232876712328769</v>
      </c>
    </row>
    <row r="302" spans="1:10" x14ac:dyDescent="0.3">
      <c r="A302" s="3" t="s">
        <v>306</v>
      </c>
      <c r="B302" t="str">
        <f>VLOOKUP(pmsurya[[#This Row],[state]],State!$A$2:$B$37,2,0)</f>
        <v xml:space="preserve"> Madhya Pradesh</v>
      </c>
      <c r="C302" t="s">
        <v>310</v>
      </c>
      <c r="D302" s="5">
        <v>1772</v>
      </c>
      <c r="E302" s="5">
        <v>1083</v>
      </c>
      <c r="F302" s="5">
        <v>1083</v>
      </c>
      <c r="G302" s="5">
        <v>4112</v>
      </c>
      <c r="H302" s="4">
        <v>71078850</v>
      </c>
      <c r="I302" s="5">
        <f>pmsurya[[#This Row],[applications]]-pmsurya[[#This Row],[installations]]</f>
        <v>689</v>
      </c>
      <c r="J302" s="6">
        <f>(pmsurya[[#This Row],[installations]]/pmsurya[[#This Row],[applications]])</f>
        <v>0.61117381489841982</v>
      </c>
    </row>
    <row r="303" spans="1:10" x14ac:dyDescent="0.3">
      <c r="A303" s="3" t="s">
        <v>306</v>
      </c>
      <c r="B303" t="str">
        <f>VLOOKUP(pmsurya[[#This Row],[state]],State!$A$2:$B$37,2,0)</f>
        <v xml:space="preserve"> Madhya Pradesh</v>
      </c>
      <c r="C303" t="s">
        <v>311</v>
      </c>
      <c r="D303" s="5">
        <v>1864</v>
      </c>
      <c r="E303" s="5">
        <v>1166</v>
      </c>
      <c r="F303" s="5">
        <v>1166</v>
      </c>
      <c r="G303" s="5">
        <v>4327</v>
      </c>
      <c r="H303" s="4">
        <v>74988000</v>
      </c>
      <c r="I303" s="5">
        <f>pmsurya[[#This Row],[applications]]-pmsurya[[#This Row],[installations]]</f>
        <v>698</v>
      </c>
      <c r="J303" s="6">
        <f>(pmsurya[[#This Row],[installations]]/pmsurya[[#This Row],[applications]])</f>
        <v>0.62553648068669532</v>
      </c>
    </row>
    <row r="304" spans="1:10" x14ac:dyDescent="0.3">
      <c r="A304" s="3" t="s">
        <v>306</v>
      </c>
      <c r="B304" t="str">
        <f>VLOOKUP(pmsurya[[#This Row],[state]],State!$A$2:$B$37,2,0)</f>
        <v xml:space="preserve"> Madhya Pradesh</v>
      </c>
      <c r="C304" t="s">
        <v>312</v>
      </c>
      <c r="D304" s="5">
        <v>3404</v>
      </c>
      <c r="E304" s="5">
        <v>2293</v>
      </c>
      <c r="F304" s="5">
        <v>2293</v>
      </c>
      <c r="G304" s="5">
        <v>8196</v>
      </c>
      <c r="H304" s="4">
        <v>162253950</v>
      </c>
      <c r="I304" s="5">
        <f>pmsurya[[#This Row],[applications]]-pmsurya[[#This Row],[installations]]</f>
        <v>1111</v>
      </c>
      <c r="J304" s="6">
        <f>(pmsurya[[#This Row],[installations]]/pmsurya[[#This Row],[applications]])</f>
        <v>0.67361927144535838</v>
      </c>
    </row>
    <row r="305" spans="1:10" x14ac:dyDescent="0.3">
      <c r="A305" s="3" t="s">
        <v>306</v>
      </c>
      <c r="B305" t="str">
        <f>VLOOKUP(pmsurya[[#This Row],[state]],State!$A$2:$B$37,2,0)</f>
        <v xml:space="preserve"> Madhya Pradesh</v>
      </c>
      <c r="C305" t="s">
        <v>313</v>
      </c>
      <c r="D305" s="5">
        <v>2691</v>
      </c>
      <c r="E305" s="5">
        <v>1947</v>
      </c>
      <c r="F305" s="5">
        <v>2057</v>
      </c>
      <c r="G305" s="5">
        <v>6927</v>
      </c>
      <c r="H305" s="4">
        <v>134986350</v>
      </c>
      <c r="I305" s="5">
        <f>pmsurya[[#This Row],[applications]]-pmsurya[[#This Row],[installations]]</f>
        <v>744</v>
      </c>
      <c r="J305" s="6">
        <f>(pmsurya[[#This Row],[installations]]/pmsurya[[#This Row],[applications]])</f>
        <v>0.7235228539576366</v>
      </c>
    </row>
    <row r="306" spans="1:10" x14ac:dyDescent="0.3">
      <c r="A306" s="3" t="s">
        <v>306</v>
      </c>
      <c r="B306" t="str">
        <f>VLOOKUP(pmsurya[[#This Row],[state]],State!$A$2:$B$37,2,0)</f>
        <v xml:space="preserve"> Madhya Pradesh</v>
      </c>
      <c r="C306" t="s">
        <v>314</v>
      </c>
      <c r="D306" s="5">
        <v>215</v>
      </c>
      <c r="E306" s="5">
        <v>74</v>
      </c>
      <c r="F306" s="5">
        <v>74</v>
      </c>
      <c r="G306" s="5">
        <v>310</v>
      </c>
      <c r="H306" s="4">
        <v>4810980</v>
      </c>
      <c r="I306" s="5">
        <f>pmsurya[[#This Row],[applications]]-pmsurya[[#This Row],[installations]]</f>
        <v>141</v>
      </c>
      <c r="J306" s="6">
        <f>(pmsurya[[#This Row],[installations]]/pmsurya[[#This Row],[applications]])</f>
        <v>0.34418604651162793</v>
      </c>
    </row>
    <row r="307" spans="1:10" x14ac:dyDescent="0.3">
      <c r="A307" s="3" t="s">
        <v>306</v>
      </c>
      <c r="B307" t="str">
        <f>VLOOKUP(pmsurya[[#This Row],[state]],State!$A$2:$B$37,2,0)</f>
        <v xml:space="preserve"> Madhya Pradesh</v>
      </c>
      <c r="C307" t="s">
        <v>315</v>
      </c>
      <c r="D307" s="5">
        <v>28731</v>
      </c>
      <c r="E307" s="5">
        <v>22524</v>
      </c>
      <c r="F307" s="5">
        <v>24987</v>
      </c>
      <c r="G307" s="5">
        <v>87007</v>
      </c>
      <c r="H307" s="4">
        <v>1599350070</v>
      </c>
      <c r="I307" s="5">
        <f>pmsurya[[#This Row],[applications]]-pmsurya[[#This Row],[installations]]</f>
        <v>6207</v>
      </c>
      <c r="J307" s="6">
        <f>(pmsurya[[#This Row],[installations]]/pmsurya[[#This Row],[applications]])</f>
        <v>0.78396157460582649</v>
      </c>
    </row>
    <row r="308" spans="1:10" x14ac:dyDescent="0.3">
      <c r="A308" s="3" t="s">
        <v>306</v>
      </c>
      <c r="B308" t="str">
        <f>VLOOKUP(pmsurya[[#This Row],[state]],State!$A$2:$B$37,2,0)</f>
        <v xml:space="preserve"> Madhya Pradesh</v>
      </c>
      <c r="C308" t="s">
        <v>316</v>
      </c>
      <c r="D308" s="5">
        <v>2343</v>
      </c>
      <c r="E308" s="5">
        <v>759</v>
      </c>
      <c r="F308" s="5">
        <v>759</v>
      </c>
      <c r="G308" s="5">
        <v>2769</v>
      </c>
      <c r="H308" s="4">
        <v>51273960</v>
      </c>
      <c r="I308" s="5">
        <f>pmsurya[[#This Row],[applications]]-pmsurya[[#This Row],[installations]]</f>
        <v>1584</v>
      </c>
      <c r="J308" s="6">
        <f>(pmsurya[[#This Row],[installations]]/pmsurya[[#This Row],[applications]])</f>
        <v>0.323943661971831</v>
      </c>
    </row>
    <row r="309" spans="1:10" x14ac:dyDescent="0.3">
      <c r="A309" s="3" t="s">
        <v>306</v>
      </c>
      <c r="B309" t="str">
        <f>VLOOKUP(pmsurya[[#This Row],[state]],State!$A$2:$B$37,2,0)</f>
        <v xml:space="preserve"> Madhya Pradesh</v>
      </c>
      <c r="C309" t="s">
        <v>317</v>
      </c>
      <c r="D309" s="5">
        <v>2667</v>
      </c>
      <c r="E309" s="5">
        <v>1908</v>
      </c>
      <c r="F309" s="5">
        <v>1908</v>
      </c>
      <c r="G309" s="5">
        <v>7143</v>
      </c>
      <c r="H309" s="4">
        <v>128953950</v>
      </c>
      <c r="I309" s="5">
        <f>pmsurya[[#This Row],[applications]]-pmsurya[[#This Row],[installations]]</f>
        <v>759</v>
      </c>
      <c r="J309" s="6">
        <f>(pmsurya[[#This Row],[installations]]/pmsurya[[#This Row],[applications]])</f>
        <v>0.7154105736782902</v>
      </c>
    </row>
    <row r="310" spans="1:10" x14ac:dyDescent="0.3">
      <c r="A310" s="3" t="s">
        <v>306</v>
      </c>
      <c r="B310" t="str">
        <f>VLOOKUP(pmsurya[[#This Row],[state]],State!$A$2:$B$37,2,0)</f>
        <v xml:space="preserve"> Madhya Pradesh</v>
      </c>
      <c r="C310" t="s">
        <v>318</v>
      </c>
      <c r="D310" s="5">
        <v>2762</v>
      </c>
      <c r="E310" s="5">
        <v>1908</v>
      </c>
      <c r="F310" s="5">
        <v>1908</v>
      </c>
      <c r="G310" s="5">
        <v>6959</v>
      </c>
      <c r="H310" s="4">
        <v>129984660</v>
      </c>
      <c r="I310" s="5">
        <f>pmsurya[[#This Row],[applications]]-pmsurya[[#This Row],[installations]]</f>
        <v>854</v>
      </c>
      <c r="J310" s="6">
        <f>(pmsurya[[#This Row],[installations]]/pmsurya[[#This Row],[applications]])</f>
        <v>0.6908037653874004</v>
      </c>
    </row>
    <row r="311" spans="1:10" x14ac:dyDescent="0.3">
      <c r="A311" s="3" t="s">
        <v>306</v>
      </c>
      <c r="B311" t="str">
        <f>VLOOKUP(pmsurya[[#This Row],[state]],State!$A$2:$B$37,2,0)</f>
        <v xml:space="preserve"> Madhya Pradesh</v>
      </c>
      <c r="C311" t="s">
        <v>319</v>
      </c>
      <c r="D311" s="5">
        <v>2474</v>
      </c>
      <c r="E311" s="5">
        <v>1743</v>
      </c>
      <c r="F311" s="5">
        <v>1743</v>
      </c>
      <c r="G311" s="5">
        <v>5967</v>
      </c>
      <c r="H311" s="4">
        <v>119779260</v>
      </c>
      <c r="I311" s="5">
        <f>pmsurya[[#This Row],[applications]]-pmsurya[[#This Row],[installations]]</f>
        <v>731</v>
      </c>
      <c r="J311" s="6">
        <f>(pmsurya[[#This Row],[installations]]/pmsurya[[#This Row],[applications]])</f>
        <v>0.70452708164915112</v>
      </c>
    </row>
    <row r="312" spans="1:10" x14ac:dyDescent="0.3">
      <c r="A312" s="3" t="s">
        <v>306</v>
      </c>
      <c r="B312" t="str">
        <f>VLOOKUP(pmsurya[[#This Row],[state]],State!$A$2:$B$37,2,0)</f>
        <v xml:space="preserve"> Madhya Pradesh</v>
      </c>
      <c r="C312" t="s">
        <v>320</v>
      </c>
      <c r="D312" s="5">
        <v>576</v>
      </c>
      <c r="E312" s="5">
        <v>366</v>
      </c>
      <c r="F312" s="5">
        <v>366</v>
      </c>
      <c r="G312" s="5">
        <v>1511</v>
      </c>
      <c r="H312" s="4">
        <v>23365530</v>
      </c>
      <c r="I312" s="5">
        <f>pmsurya[[#This Row],[applications]]-pmsurya[[#This Row],[installations]]</f>
        <v>210</v>
      </c>
      <c r="J312" s="6">
        <f>(pmsurya[[#This Row],[installations]]/pmsurya[[#This Row],[applications]])</f>
        <v>0.63541666666666663</v>
      </c>
    </row>
    <row r="313" spans="1:10" x14ac:dyDescent="0.3">
      <c r="A313" s="3" t="s">
        <v>306</v>
      </c>
      <c r="B313" t="str">
        <f>VLOOKUP(pmsurya[[#This Row],[state]],State!$A$2:$B$37,2,0)</f>
        <v xml:space="preserve"> Madhya Pradesh</v>
      </c>
      <c r="C313" t="s">
        <v>321</v>
      </c>
      <c r="D313" s="5">
        <v>5934</v>
      </c>
      <c r="E313" s="5">
        <v>3625</v>
      </c>
      <c r="F313" s="5">
        <v>3625</v>
      </c>
      <c r="G313" s="5">
        <v>12424</v>
      </c>
      <c r="H313" s="4">
        <v>259596810</v>
      </c>
      <c r="I313" s="5">
        <f>pmsurya[[#This Row],[applications]]-pmsurya[[#This Row],[installations]]</f>
        <v>2309</v>
      </c>
      <c r="J313" s="6">
        <f>(pmsurya[[#This Row],[installations]]/pmsurya[[#This Row],[applications]])</f>
        <v>0.61088641725648807</v>
      </c>
    </row>
    <row r="314" spans="1:10" x14ac:dyDescent="0.3">
      <c r="A314" s="3" t="s">
        <v>306</v>
      </c>
      <c r="B314" t="str">
        <f>VLOOKUP(pmsurya[[#This Row],[state]],State!$A$2:$B$37,2,0)</f>
        <v xml:space="preserve"> Madhya Pradesh</v>
      </c>
      <c r="C314" t="s">
        <v>322</v>
      </c>
      <c r="D314" s="5">
        <v>5656</v>
      </c>
      <c r="E314" s="5">
        <v>2894</v>
      </c>
      <c r="F314" s="5">
        <v>2894</v>
      </c>
      <c r="G314" s="5">
        <v>10667</v>
      </c>
      <c r="H314" s="4">
        <v>190166310</v>
      </c>
      <c r="I314" s="5">
        <f>pmsurya[[#This Row],[applications]]-pmsurya[[#This Row],[installations]]</f>
        <v>2762</v>
      </c>
      <c r="J314" s="6">
        <f>(pmsurya[[#This Row],[installations]]/pmsurya[[#This Row],[applications]])</f>
        <v>0.51166902404526171</v>
      </c>
    </row>
    <row r="315" spans="1:10" x14ac:dyDescent="0.3">
      <c r="A315" s="3" t="s">
        <v>306</v>
      </c>
      <c r="B315" t="str">
        <f>VLOOKUP(pmsurya[[#This Row],[state]],State!$A$2:$B$37,2,0)</f>
        <v xml:space="preserve"> Madhya Pradesh</v>
      </c>
      <c r="C315" t="s">
        <v>323</v>
      </c>
      <c r="D315" s="5">
        <v>133</v>
      </c>
      <c r="E315" s="5">
        <v>68</v>
      </c>
      <c r="F315" s="5">
        <v>68</v>
      </c>
      <c r="G315" s="5">
        <v>229</v>
      </c>
      <c r="H315" s="4">
        <v>4435710</v>
      </c>
      <c r="I315" s="5">
        <f>pmsurya[[#This Row],[applications]]-pmsurya[[#This Row],[installations]]</f>
        <v>65</v>
      </c>
      <c r="J315" s="6">
        <f>(pmsurya[[#This Row],[installations]]/pmsurya[[#This Row],[applications]])</f>
        <v>0.51127819548872178</v>
      </c>
    </row>
    <row r="316" spans="1:10" x14ac:dyDescent="0.3">
      <c r="A316" s="3" t="s">
        <v>306</v>
      </c>
      <c r="B316" t="str">
        <f>VLOOKUP(pmsurya[[#This Row],[state]],State!$A$2:$B$37,2,0)</f>
        <v xml:space="preserve"> Madhya Pradesh</v>
      </c>
      <c r="C316" t="s">
        <v>324</v>
      </c>
      <c r="D316" s="5">
        <v>2468</v>
      </c>
      <c r="E316" s="5">
        <v>1640</v>
      </c>
      <c r="F316" s="5">
        <v>1640</v>
      </c>
      <c r="G316" s="5">
        <v>6387</v>
      </c>
      <c r="H316" s="4">
        <v>103606800</v>
      </c>
      <c r="I316" s="5">
        <f>pmsurya[[#This Row],[applications]]-pmsurya[[#This Row],[installations]]</f>
        <v>828</v>
      </c>
      <c r="J316" s="6">
        <f>(pmsurya[[#This Row],[installations]]/pmsurya[[#This Row],[applications]])</f>
        <v>0.6645056726094003</v>
      </c>
    </row>
    <row r="317" spans="1:10" x14ac:dyDescent="0.3">
      <c r="A317" s="3" t="s">
        <v>306</v>
      </c>
      <c r="B317" t="str">
        <f>VLOOKUP(pmsurya[[#This Row],[state]],State!$A$2:$B$37,2,0)</f>
        <v xml:space="preserve"> Madhya Pradesh</v>
      </c>
      <c r="C317" t="s">
        <v>325</v>
      </c>
      <c r="D317" s="5">
        <v>9794</v>
      </c>
      <c r="E317" s="5">
        <v>7199</v>
      </c>
      <c r="F317" s="5">
        <v>7199</v>
      </c>
      <c r="G317" s="5">
        <v>30962</v>
      </c>
      <c r="H317" s="4">
        <v>494995230</v>
      </c>
      <c r="I317" s="5">
        <f>pmsurya[[#This Row],[applications]]-pmsurya[[#This Row],[installations]]</f>
        <v>2595</v>
      </c>
      <c r="J317" s="6">
        <f>(pmsurya[[#This Row],[installations]]/pmsurya[[#This Row],[applications]])</f>
        <v>0.73504186236471314</v>
      </c>
    </row>
    <row r="318" spans="1:10" x14ac:dyDescent="0.3">
      <c r="A318" s="3" t="s">
        <v>306</v>
      </c>
      <c r="B318" t="str">
        <f>VLOOKUP(pmsurya[[#This Row],[state]],State!$A$2:$B$37,2,0)</f>
        <v xml:space="preserve"> Madhya Pradesh</v>
      </c>
      <c r="C318" t="s">
        <v>326</v>
      </c>
      <c r="D318" s="5">
        <v>1708</v>
      </c>
      <c r="E318" s="5">
        <v>1161</v>
      </c>
      <c r="F318" s="5">
        <v>1161</v>
      </c>
      <c r="G318" s="5">
        <v>4623</v>
      </c>
      <c r="H318" s="4">
        <v>81612270</v>
      </c>
      <c r="I318" s="5">
        <f>pmsurya[[#This Row],[applications]]-pmsurya[[#This Row],[installations]]</f>
        <v>547</v>
      </c>
      <c r="J318" s="6">
        <f>(pmsurya[[#This Row],[installations]]/pmsurya[[#This Row],[applications]])</f>
        <v>0.67974238875878223</v>
      </c>
    </row>
    <row r="319" spans="1:10" x14ac:dyDescent="0.3">
      <c r="A319" s="3" t="s">
        <v>306</v>
      </c>
      <c r="B319" t="str">
        <f>VLOOKUP(pmsurya[[#This Row],[state]],State!$A$2:$B$37,2,0)</f>
        <v xml:space="preserve"> Madhya Pradesh</v>
      </c>
      <c r="C319" t="s">
        <v>327</v>
      </c>
      <c r="D319" s="5">
        <v>41155</v>
      </c>
      <c r="E319" s="5">
        <v>23983</v>
      </c>
      <c r="F319" s="5">
        <v>25443</v>
      </c>
      <c r="G319" s="5">
        <v>93263</v>
      </c>
      <c r="H319" s="4">
        <v>1701663600</v>
      </c>
      <c r="I319" s="5">
        <f>pmsurya[[#This Row],[applications]]-pmsurya[[#This Row],[installations]]</f>
        <v>17172</v>
      </c>
      <c r="J319" s="6">
        <f>(pmsurya[[#This Row],[installations]]/pmsurya[[#This Row],[applications]])</f>
        <v>0.582748147248208</v>
      </c>
    </row>
    <row r="320" spans="1:10" x14ac:dyDescent="0.3">
      <c r="A320" s="3" t="s">
        <v>306</v>
      </c>
      <c r="B320" t="str">
        <f>VLOOKUP(pmsurya[[#This Row],[state]],State!$A$2:$B$37,2,0)</f>
        <v xml:space="preserve"> Madhya Pradesh</v>
      </c>
      <c r="C320" t="s">
        <v>328</v>
      </c>
      <c r="D320" s="5">
        <v>12687</v>
      </c>
      <c r="E320" s="5">
        <v>9653</v>
      </c>
      <c r="F320" s="5">
        <v>9938</v>
      </c>
      <c r="G320" s="5">
        <v>35300</v>
      </c>
      <c r="H320" s="4">
        <v>671938650</v>
      </c>
      <c r="I320" s="5">
        <f>pmsurya[[#This Row],[applications]]-pmsurya[[#This Row],[installations]]</f>
        <v>3034</v>
      </c>
      <c r="J320" s="6">
        <f>(pmsurya[[#This Row],[installations]]/pmsurya[[#This Row],[applications]])</f>
        <v>0.76085757074170413</v>
      </c>
    </row>
    <row r="321" spans="1:10" x14ac:dyDescent="0.3">
      <c r="A321" s="3" t="s">
        <v>306</v>
      </c>
      <c r="B321" t="str">
        <f>VLOOKUP(pmsurya[[#This Row],[state]],State!$A$2:$B$37,2,0)</f>
        <v xml:space="preserve"> Madhya Pradesh</v>
      </c>
      <c r="C321" t="s">
        <v>329</v>
      </c>
      <c r="D321" s="5">
        <v>1911</v>
      </c>
      <c r="E321" s="5">
        <v>527</v>
      </c>
      <c r="F321" s="5">
        <v>527</v>
      </c>
      <c r="G321" s="5">
        <v>1941</v>
      </c>
      <c r="H321" s="4">
        <v>35521650</v>
      </c>
      <c r="I321" s="5">
        <f>pmsurya[[#This Row],[applications]]-pmsurya[[#This Row],[installations]]</f>
        <v>1384</v>
      </c>
      <c r="J321" s="6">
        <f>(pmsurya[[#This Row],[installations]]/pmsurya[[#This Row],[applications]])</f>
        <v>0.27577184720041864</v>
      </c>
    </row>
    <row r="322" spans="1:10" x14ac:dyDescent="0.3">
      <c r="A322" s="3" t="s">
        <v>306</v>
      </c>
      <c r="B322" t="str">
        <f>VLOOKUP(pmsurya[[#This Row],[state]],State!$A$2:$B$37,2,0)</f>
        <v xml:space="preserve"> Madhya Pradesh</v>
      </c>
      <c r="C322" t="s">
        <v>330</v>
      </c>
      <c r="D322" s="5">
        <v>2119</v>
      </c>
      <c r="E322" s="5">
        <v>1474</v>
      </c>
      <c r="F322" s="5">
        <v>1474</v>
      </c>
      <c r="G322" s="5">
        <v>5241</v>
      </c>
      <c r="H322" s="4">
        <v>102365010</v>
      </c>
      <c r="I322" s="5">
        <f>pmsurya[[#This Row],[applications]]-pmsurya[[#This Row],[installations]]</f>
        <v>645</v>
      </c>
      <c r="J322" s="6">
        <f>(pmsurya[[#This Row],[installations]]/pmsurya[[#This Row],[applications]])</f>
        <v>0.69561113732892876</v>
      </c>
    </row>
    <row r="323" spans="1:10" x14ac:dyDescent="0.3">
      <c r="A323" s="3" t="s">
        <v>306</v>
      </c>
      <c r="B323" t="str">
        <f>VLOOKUP(pmsurya[[#This Row],[state]],State!$A$2:$B$37,2,0)</f>
        <v xml:space="preserve"> Madhya Pradesh</v>
      </c>
      <c r="C323" t="s">
        <v>331</v>
      </c>
      <c r="D323" s="5">
        <v>1947</v>
      </c>
      <c r="E323" s="5">
        <v>911</v>
      </c>
      <c r="F323" s="5">
        <v>911</v>
      </c>
      <c r="G323" s="5">
        <v>3394</v>
      </c>
      <c r="H323" s="4">
        <v>60266850</v>
      </c>
      <c r="I323" s="5">
        <f>pmsurya[[#This Row],[applications]]-pmsurya[[#This Row],[installations]]</f>
        <v>1036</v>
      </c>
      <c r="J323" s="6">
        <f>(pmsurya[[#This Row],[installations]]/pmsurya[[#This Row],[applications]])</f>
        <v>0.46789933230611197</v>
      </c>
    </row>
    <row r="324" spans="1:10" x14ac:dyDescent="0.3">
      <c r="A324" s="3" t="s">
        <v>306</v>
      </c>
      <c r="B324" t="str">
        <f>VLOOKUP(pmsurya[[#This Row],[state]],State!$A$2:$B$37,2,0)</f>
        <v xml:space="preserve"> Madhya Pradesh</v>
      </c>
      <c r="C324" t="s">
        <v>332</v>
      </c>
      <c r="D324" s="5">
        <v>6325</v>
      </c>
      <c r="E324" s="5">
        <v>3154</v>
      </c>
      <c r="F324" s="5">
        <v>3154</v>
      </c>
      <c r="G324" s="5">
        <v>11085</v>
      </c>
      <c r="H324" s="4">
        <v>218706900</v>
      </c>
      <c r="I324" s="5">
        <f>pmsurya[[#This Row],[applications]]-pmsurya[[#This Row],[installations]]</f>
        <v>3171</v>
      </c>
      <c r="J324" s="6">
        <f>(pmsurya[[#This Row],[installations]]/pmsurya[[#This Row],[applications]])</f>
        <v>0.49865612648221341</v>
      </c>
    </row>
    <row r="325" spans="1:10" x14ac:dyDescent="0.3">
      <c r="A325" s="3" t="s">
        <v>306</v>
      </c>
      <c r="B325" t="str">
        <f>VLOOKUP(pmsurya[[#This Row],[state]],State!$A$2:$B$37,2,0)</f>
        <v xml:space="preserve"> Madhya Pradesh</v>
      </c>
      <c r="C325" t="s">
        <v>333</v>
      </c>
      <c r="D325" s="5">
        <v>79</v>
      </c>
      <c r="E325" s="5">
        <v>64</v>
      </c>
      <c r="F325" s="5">
        <v>64</v>
      </c>
      <c r="G325" s="5">
        <v>238</v>
      </c>
      <c r="H325" s="4">
        <v>4912200</v>
      </c>
      <c r="I325" s="5">
        <f>pmsurya[[#This Row],[applications]]-pmsurya[[#This Row],[installations]]</f>
        <v>15</v>
      </c>
      <c r="J325" s="6">
        <f>(pmsurya[[#This Row],[installations]]/pmsurya[[#This Row],[applications]])</f>
        <v>0.810126582278481</v>
      </c>
    </row>
    <row r="326" spans="1:10" x14ac:dyDescent="0.3">
      <c r="A326" s="3" t="s">
        <v>306</v>
      </c>
      <c r="B326" t="str">
        <f>VLOOKUP(pmsurya[[#This Row],[state]],State!$A$2:$B$37,2,0)</f>
        <v xml:space="preserve"> Madhya Pradesh</v>
      </c>
      <c r="C326" t="s">
        <v>334</v>
      </c>
      <c r="D326" s="5">
        <v>518</v>
      </c>
      <c r="E326" s="5">
        <v>316</v>
      </c>
      <c r="F326" s="5">
        <v>316</v>
      </c>
      <c r="G326" s="5">
        <v>1098</v>
      </c>
      <c r="H326" s="4">
        <v>20729850</v>
      </c>
      <c r="I326" s="5">
        <f>pmsurya[[#This Row],[applications]]-pmsurya[[#This Row],[installations]]</f>
        <v>202</v>
      </c>
      <c r="J326" s="6">
        <f>(pmsurya[[#This Row],[installations]]/pmsurya[[#This Row],[applications]])</f>
        <v>0.61003861003861004</v>
      </c>
    </row>
    <row r="327" spans="1:10" x14ac:dyDescent="0.3">
      <c r="A327" s="3" t="s">
        <v>306</v>
      </c>
      <c r="B327" t="str">
        <f>VLOOKUP(pmsurya[[#This Row],[state]],State!$A$2:$B$37,2,0)</f>
        <v xml:space="preserve"> Madhya Pradesh</v>
      </c>
      <c r="C327" t="s">
        <v>335</v>
      </c>
      <c r="D327" s="5">
        <v>6731</v>
      </c>
      <c r="E327" s="5">
        <v>3527</v>
      </c>
      <c r="F327" s="5">
        <v>3541</v>
      </c>
      <c r="G327" s="5">
        <v>12387</v>
      </c>
      <c r="H327" s="4">
        <v>225746202</v>
      </c>
      <c r="I327" s="5">
        <f>pmsurya[[#This Row],[applications]]-pmsurya[[#This Row],[installations]]</f>
        <v>3204</v>
      </c>
      <c r="J327" s="6">
        <f>(pmsurya[[#This Row],[installations]]/pmsurya[[#This Row],[applications]])</f>
        <v>0.52399346308126582</v>
      </c>
    </row>
    <row r="328" spans="1:10" x14ac:dyDescent="0.3">
      <c r="A328" s="3" t="s">
        <v>306</v>
      </c>
      <c r="B328" t="str">
        <f>VLOOKUP(pmsurya[[#This Row],[state]],State!$A$2:$B$37,2,0)</f>
        <v xml:space="preserve"> Madhya Pradesh</v>
      </c>
      <c r="C328" t="s">
        <v>336</v>
      </c>
      <c r="D328" s="5">
        <v>11</v>
      </c>
      <c r="E328" s="5">
        <v>1</v>
      </c>
      <c r="F328" s="5">
        <v>1</v>
      </c>
      <c r="G328" s="5">
        <v>5</v>
      </c>
      <c r="H328" s="4">
        <v>78000</v>
      </c>
      <c r="I328" s="5">
        <f>pmsurya[[#This Row],[applications]]-pmsurya[[#This Row],[installations]]</f>
        <v>10</v>
      </c>
      <c r="J328" s="6">
        <f>(pmsurya[[#This Row],[installations]]/pmsurya[[#This Row],[applications]])</f>
        <v>9.0909090909090912E-2</v>
      </c>
    </row>
    <row r="329" spans="1:10" x14ac:dyDescent="0.3">
      <c r="A329" s="3" t="s">
        <v>306</v>
      </c>
      <c r="B329" t="str">
        <f>VLOOKUP(pmsurya[[#This Row],[state]],State!$A$2:$B$37,2,0)</f>
        <v xml:space="preserve"> Madhya Pradesh</v>
      </c>
      <c r="C329" t="s">
        <v>337</v>
      </c>
      <c r="D329" s="5">
        <v>381</v>
      </c>
      <c r="E329" s="5">
        <v>161</v>
      </c>
      <c r="F329" s="5">
        <v>161</v>
      </c>
      <c r="G329" s="5">
        <v>688</v>
      </c>
      <c r="H329" s="4">
        <v>10365450</v>
      </c>
      <c r="I329" s="5">
        <f>pmsurya[[#This Row],[applications]]-pmsurya[[#This Row],[installations]]</f>
        <v>220</v>
      </c>
      <c r="J329" s="6">
        <f>(pmsurya[[#This Row],[installations]]/pmsurya[[#This Row],[applications]])</f>
        <v>0.4225721784776903</v>
      </c>
    </row>
    <row r="330" spans="1:10" x14ac:dyDescent="0.3">
      <c r="A330" s="3" t="s">
        <v>306</v>
      </c>
      <c r="B330" t="str">
        <f>VLOOKUP(pmsurya[[#This Row],[state]],State!$A$2:$B$37,2,0)</f>
        <v xml:space="preserve"> Madhya Pradesh</v>
      </c>
      <c r="C330" t="s">
        <v>338</v>
      </c>
      <c r="D330" s="5">
        <v>4032</v>
      </c>
      <c r="E330" s="5">
        <v>3096</v>
      </c>
      <c r="F330" s="5">
        <v>3112</v>
      </c>
      <c r="G330" s="5">
        <v>11400</v>
      </c>
      <c r="H330" s="4">
        <v>208292130</v>
      </c>
      <c r="I330" s="5">
        <f>pmsurya[[#This Row],[applications]]-pmsurya[[#This Row],[installations]]</f>
        <v>936</v>
      </c>
      <c r="J330" s="6">
        <f>(pmsurya[[#This Row],[installations]]/pmsurya[[#This Row],[applications]])</f>
        <v>0.7678571428571429</v>
      </c>
    </row>
    <row r="331" spans="1:10" x14ac:dyDescent="0.3">
      <c r="A331" s="3" t="s">
        <v>306</v>
      </c>
      <c r="B331" t="str">
        <f>VLOOKUP(pmsurya[[#This Row],[state]],State!$A$2:$B$37,2,0)</f>
        <v xml:space="preserve"> Madhya Pradesh</v>
      </c>
      <c r="C331" t="s">
        <v>339</v>
      </c>
      <c r="D331" s="5">
        <v>1561</v>
      </c>
      <c r="E331" s="5">
        <v>1176</v>
      </c>
      <c r="F331" s="5">
        <v>1176</v>
      </c>
      <c r="G331" s="5">
        <v>4197</v>
      </c>
      <c r="H331" s="4">
        <v>81037800</v>
      </c>
      <c r="I331" s="5">
        <f>pmsurya[[#This Row],[applications]]-pmsurya[[#This Row],[installations]]</f>
        <v>385</v>
      </c>
      <c r="J331" s="6">
        <f>(pmsurya[[#This Row],[installations]]/pmsurya[[#This Row],[applications]])</f>
        <v>0.75336322869955152</v>
      </c>
    </row>
    <row r="332" spans="1:10" x14ac:dyDescent="0.3">
      <c r="A332" s="3" t="s">
        <v>306</v>
      </c>
      <c r="B332" t="str">
        <f>VLOOKUP(pmsurya[[#This Row],[state]],State!$A$2:$B$37,2,0)</f>
        <v xml:space="preserve"> Madhya Pradesh</v>
      </c>
      <c r="C332" t="s">
        <v>340</v>
      </c>
      <c r="D332" s="5">
        <v>5224</v>
      </c>
      <c r="E332" s="5">
        <v>2865</v>
      </c>
      <c r="F332" s="5">
        <v>2865</v>
      </c>
      <c r="G332" s="5">
        <v>10038</v>
      </c>
      <c r="H332" s="4">
        <v>189779850</v>
      </c>
      <c r="I332" s="5">
        <f>pmsurya[[#This Row],[applications]]-pmsurya[[#This Row],[installations]]</f>
        <v>2359</v>
      </c>
      <c r="J332" s="6">
        <f>(pmsurya[[#This Row],[installations]]/pmsurya[[#This Row],[applications]])</f>
        <v>0.54843032159264926</v>
      </c>
    </row>
    <row r="333" spans="1:10" x14ac:dyDescent="0.3">
      <c r="A333" s="3" t="s">
        <v>306</v>
      </c>
      <c r="B333" t="str">
        <f>VLOOKUP(pmsurya[[#This Row],[state]],State!$A$2:$B$37,2,0)</f>
        <v xml:space="preserve"> Madhya Pradesh</v>
      </c>
      <c r="C333" t="s">
        <v>341</v>
      </c>
      <c r="D333" s="5">
        <v>54</v>
      </c>
      <c r="E333" s="5">
        <v>31</v>
      </c>
      <c r="F333" s="5">
        <v>31</v>
      </c>
      <c r="G333" s="5">
        <v>126</v>
      </c>
      <c r="H333" s="4">
        <v>2262000</v>
      </c>
      <c r="I333" s="5">
        <f>pmsurya[[#This Row],[applications]]-pmsurya[[#This Row],[installations]]</f>
        <v>23</v>
      </c>
      <c r="J333" s="6">
        <f>(pmsurya[[#This Row],[installations]]/pmsurya[[#This Row],[applications]])</f>
        <v>0.57407407407407407</v>
      </c>
    </row>
    <row r="334" spans="1:10" x14ac:dyDescent="0.3">
      <c r="A334" s="3" t="s">
        <v>306</v>
      </c>
      <c r="B334" t="str">
        <f>VLOOKUP(pmsurya[[#This Row],[state]],State!$A$2:$B$37,2,0)</f>
        <v xml:space="preserve"> Madhya Pradesh</v>
      </c>
      <c r="C334" t="s">
        <v>342</v>
      </c>
      <c r="D334" s="5">
        <v>35</v>
      </c>
      <c r="E334" s="5">
        <v>19</v>
      </c>
      <c r="F334" s="5">
        <v>19</v>
      </c>
      <c r="G334" s="5">
        <v>60</v>
      </c>
      <c r="H334" s="4">
        <v>1442580</v>
      </c>
      <c r="I334" s="5">
        <f>pmsurya[[#This Row],[applications]]-pmsurya[[#This Row],[installations]]</f>
        <v>16</v>
      </c>
      <c r="J334" s="6">
        <f>(pmsurya[[#This Row],[installations]]/pmsurya[[#This Row],[applications]])</f>
        <v>0.54285714285714282</v>
      </c>
    </row>
    <row r="335" spans="1:10" x14ac:dyDescent="0.3">
      <c r="A335" s="3" t="s">
        <v>306</v>
      </c>
      <c r="B335" t="str">
        <f>VLOOKUP(pmsurya[[#This Row],[state]],State!$A$2:$B$37,2,0)</f>
        <v xml:space="preserve"> Madhya Pradesh</v>
      </c>
      <c r="C335" t="s">
        <v>343</v>
      </c>
      <c r="D335" s="5">
        <v>913</v>
      </c>
      <c r="E335" s="5">
        <v>557</v>
      </c>
      <c r="F335" s="5">
        <v>557</v>
      </c>
      <c r="G335" s="5">
        <v>1944</v>
      </c>
      <c r="H335" s="4">
        <v>34498410</v>
      </c>
      <c r="I335" s="5">
        <f>pmsurya[[#This Row],[applications]]-pmsurya[[#This Row],[installations]]</f>
        <v>356</v>
      </c>
      <c r="J335" s="6">
        <f>(pmsurya[[#This Row],[installations]]/pmsurya[[#This Row],[applications]])</f>
        <v>0.61007667031763413</v>
      </c>
    </row>
    <row r="336" spans="1:10" x14ac:dyDescent="0.3">
      <c r="A336" s="3" t="s">
        <v>306</v>
      </c>
      <c r="B336" t="str">
        <f>VLOOKUP(pmsurya[[#This Row],[state]],State!$A$2:$B$37,2,0)</f>
        <v xml:space="preserve"> Madhya Pradesh</v>
      </c>
      <c r="C336" t="s">
        <v>344</v>
      </c>
      <c r="D336" s="5">
        <v>2397</v>
      </c>
      <c r="E336" s="5">
        <v>1439</v>
      </c>
      <c r="F336" s="5">
        <v>1439</v>
      </c>
      <c r="G336" s="5">
        <v>5325</v>
      </c>
      <c r="H336" s="4">
        <v>89320020</v>
      </c>
      <c r="I336" s="5">
        <f>pmsurya[[#This Row],[applications]]-pmsurya[[#This Row],[installations]]</f>
        <v>958</v>
      </c>
      <c r="J336" s="6">
        <f>(pmsurya[[#This Row],[installations]]/pmsurya[[#This Row],[applications]])</f>
        <v>0.60033375052148519</v>
      </c>
    </row>
    <row r="337" spans="1:10" x14ac:dyDescent="0.3">
      <c r="A337" s="3" t="s">
        <v>306</v>
      </c>
      <c r="B337" t="str">
        <f>VLOOKUP(pmsurya[[#This Row],[state]],State!$A$2:$B$37,2,0)</f>
        <v xml:space="preserve"> Madhya Pradesh</v>
      </c>
      <c r="C337" t="s">
        <v>345</v>
      </c>
      <c r="D337" s="5">
        <v>1152</v>
      </c>
      <c r="E337" s="5">
        <v>671</v>
      </c>
      <c r="F337" s="5">
        <v>671</v>
      </c>
      <c r="G337" s="5">
        <v>2628</v>
      </c>
      <c r="H337" s="4">
        <v>41408430</v>
      </c>
      <c r="I337" s="5">
        <f>pmsurya[[#This Row],[applications]]-pmsurya[[#This Row],[installations]]</f>
        <v>481</v>
      </c>
      <c r="J337" s="6">
        <f>(pmsurya[[#This Row],[installations]]/pmsurya[[#This Row],[applications]])</f>
        <v>0.58246527777777779</v>
      </c>
    </row>
    <row r="338" spans="1:10" x14ac:dyDescent="0.3">
      <c r="A338" s="3" t="s">
        <v>306</v>
      </c>
      <c r="B338" t="str">
        <f>VLOOKUP(pmsurya[[#This Row],[state]],State!$A$2:$B$37,2,0)</f>
        <v xml:space="preserve"> Madhya Pradesh</v>
      </c>
      <c r="C338" t="s">
        <v>346</v>
      </c>
      <c r="D338" s="5">
        <v>10316</v>
      </c>
      <c r="E338" s="5">
        <v>5246</v>
      </c>
      <c r="F338" s="5">
        <v>5246</v>
      </c>
      <c r="G338" s="5">
        <v>17923</v>
      </c>
      <c r="H338" s="4">
        <v>348012180</v>
      </c>
      <c r="I338" s="5">
        <f>pmsurya[[#This Row],[applications]]-pmsurya[[#This Row],[installations]]</f>
        <v>5070</v>
      </c>
      <c r="J338" s="6">
        <f>(pmsurya[[#This Row],[installations]]/pmsurya[[#This Row],[applications]])</f>
        <v>0.50853043815432342</v>
      </c>
    </row>
    <row r="339" spans="1:10" x14ac:dyDescent="0.3">
      <c r="A339" s="3" t="s">
        <v>306</v>
      </c>
      <c r="B339" t="str">
        <f>VLOOKUP(pmsurya[[#This Row],[state]],State!$A$2:$B$37,2,0)</f>
        <v xml:space="preserve"> Madhya Pradesh</v>
      </c>
      <c r="C339" t="s">
        <v>347</v>
      </c>
      <c r="D339" s="5">
        <v>4133</v>
      </c>
      <c r="E339" s="5">
        <v>2680</v>
      </c>
      <c r="F339" s="5">
        <v>2680</v>
      </c>
      <c r="G339" s="5">
        <v>9546</v>
      </c>
      <c r="H339" s="4">
        <v>184082850</v>
      </c>
      <c r="I339" s="5">
        <f>pmsurya[[#This Row],[applications]]-pmsurya[[#This Row],[installations]]</f>
        <v>1453</v>
      </c>
      <c r="J339" s="6">
        <f>(pmsurya[[#This Row],[installations]]/pmsurya[[#This Row],[applications]])</f>
        <v>0.64843939027340913</v>
      </c>
    </row>
    <row r="340" spans="1:10" x14ac:dyDescent="0.3">
      <c r="A340" s="3" t="s">
        <v>306</v>
      </c>
      <c r="B340" t="str">
        <f>VLOOKUP(pmsurya[[#This Row],[state]],State!$A$2:$B$37,2,0)</f>
        <v xml:space="preserve"> Madhya Pradesh</v>
      </c>
      <c r="C340" t="s">
        <v>348</v>
      </c>
      <c r="D340" s="5">
        <v>4839</v>
      </c>
      <c r="E340" s="5">
        <v>3188</v>
      </c>
      <c r="F340" s="5">
        <v>3188</v>
      </c>
      <c r="G340" s="5">
        <v>11255</v>
      </c>
      <c r="H340" s="4">
        <v>214094220</v>
      </c>
      <c r="I340" s="5">
        <f>pmsurya[[#This Row],[applications]]-pmsurya[[#This Row],[installations]]</f>
        <v>1651</v>
      </c>
      <c r="J340" s="6">
        <f>(pmsurya[[#This Row],[installations]]/pmsurya[[#This Row],[applications]])</f>
        <v>0.65881380450506299</v>
      </c>
    </row>
    <row r="341" spans="1:10" x14ac:dyDescent="0.3">
      <c r="A341" s="3" t="s">
        <v>306</v>
      </c>
      <c r="B341" t="str">
        <f>VLOOKUP(pmsurya[[#This Row],[state]],State!$A$2:$B$37,2,0)</f>
        <v xml:space="preserve"> Madhya Pradesh</v>
      </c>
      <c r="C341" t="s">
        <v>349</v>
      </c>
      <c r="D341" s="5">
        <v>2853</v>
      </c>
      <c r="E341" s="5">
        <v>1854</v>
      </c>
      <c r="F341" s="5">
        <v>1854</v>
      </c>
      <c r="G341" s="5">
        <v>6993</v>
      </c>
      <c r="H341" s="4">
        <v>126196410</v>
      </c>
      <c r="I341" s="5">
        <f>pmsurya[[#This Row],[applications]]-pmsurya[[#This Row],[installations]]</f>
        <v>999</v>
      </c>
      <c r="J341" s="6">
        <f>(pmsurya[[#This Row],[installations]]/pmsurya[[#This Row],[applications]])</f>
        <v>0.64984227129337535</v>
      </c>
    </row>
    <row r="342" spans="1:10" x14ac:dyDescent="0.3">
      <c r="A342" s="3" t="s">
        <v>306</v>
      </c>
      <c r="B342" t="str">
        <f>VLOOKUP(pmsurya[[#This Row],[state]],State!$A$2:$B$37,2,0)</f>
        <v xml:space="preserve"> Madhya Pradesh</v>
      </c>
      <c r="C342" t="s">
        <v>350</v>
      </c>
      <c r="D342" s="5">
        <v>3395</v>
      </c>
      <c r="E342" s="5">
        <v>2287</v>
      </c>
      <c r="F342" s="5">
        <v>2287</v>
      </c>
      <c r="G342" s="5">
        <v>8495</v>
      </c>
      <c r="H342" s="4">
        <v>155458620</v>
      </c>
      <c r="I342" s="5">
        <f>pmsurya[[#This Row],[applications]]-pmsurya[[#This Row],[installations]]</f>
        <v>1108</v>
      </c>
      <c r="J342" s="6">
        <f>(pmsurya[[#This Row],[installations]]/pmsurya[[#This Row],[applications]])</f>
        <v>0.67363770250368193</v>
      </c>
    </row>
    <row r="343" spans="1:10" x14ac:dyDescent="0.3">
      <c r="A343" s="3" t="s">
        <v>306</v>
      </c>
      <c r="B343" t="str">
        <f>VLOOKUP(pmsurya[[#This Row],[state]],State!$A$2:$B$37,2,0)</f>
        <v xml:space="preserve"> Madhya Pradesh</v>
      </c>
      <c r="C343" t="s">
        <v>351</v>
      </c>
      <c r="D343" s="5">
        <v>991</v>
      </c>
      <c r="E343" s="5">
        <v>634</v>
      </c>
      <c r="F343" s="5">
        <v>634</v>
      </c>
      <c r="G343" s="5">
        <v>2399</v>
      </c>
      <c r="H343" s="4">
        <v>43533030</v>
      </c>
      <c r="I343" s="5">
        <f>pmsurya[[#This Row],[applications]]-pmsurya[[#This Row],[installations]]</f>
        <v>357</v>
      </c>
      <c r="J343" s="6">
        <f>(pmsurya[[#This Row],[installations]]/pmsurya[[#This Row],[applications]])</f>
        <v>0.63975782038345108</v>
      </c>
    </row>
    <row r="344" spans="1:10" x14ac:dyDescent="0.3">
      <c r="A344" s="3" t="s">
        <v>306</v>
      </c>
      <c r="B344" t="str">
        <f>VLOOKUP(pmsurya[[#This Row],[state]],State!$A$2:$B$37,2,0)</f>
        <v xml:space="preserve"> Madhya Pradesh</v>
      </c>
      <c r="C344" t="s">
        <v>352</v>
      </c>
      <c r="D344" s="5">
        <v>1265</v>
      </c>
      <c r="E344" s="5">
        <v>754</v>
      </c>
      <c r="F344" s="5">
        <v>754</v>
      </c>
      <c r="G344" s="5">
        <v>2680</v>
      </c>
      <c r="H344" s="4">
        <v>50154360</v>
      </c>
      <c r="I344" s="5">
        <f>pmsurya[[#This Row],[applications]]-pmsurya[[#This Row],[installations]]</f>
        <v>511</v>
      </c>
      <c r="J344" s="6">
        <f>(pmsurya[[#This Row],[installations]]/pmsurya[[#This Row],[applications]])</f>
        <v>0.59604743083003953</v>
      </c>
    </row>
    <row r="345" spans="1:10" x14ac:dyDescent="0.3">
      <c r="A345" s="3" t="s">
        <v>306</v>
      </c>
      <c r="B345" t="str">
        <f>VLOOKUP(pmsurya[[#This Row],[state]],State!$A$2:$B$37,2,0)</f>
        <v xml:space="preserve"> Madhya Pradesh</v>
      </c>
      <c r="C345" t="s">
        <v>353</v>
      </c>
      <c r="D345" s="5">
        <v>1248</v>
      </c>
      <c r="E345" s="5">
        <v>776</v>
      </c>
      <c r="F345" s="5">
        <v>776</v>
      </c>
      <c r="G345" s="5">
        <v>2761</v>
      </c>
      <c r="H345" s="4">
        <v>54246150</v>
      </c>
      <c r="I345" s="5">
        <f>pmsurya[[#This Row],[applications]]-pmsurya[[#This Row],[installations]]</f>
        <v>472</v>
      </c>
      <c r="J345" s="6">
        <f>(pmsurya[[#This Row],[installations]]/pmsurya[[#This Row],[applications]])</f>
        <v>0.62179487179487181</v>
      </c>
    </row>
    <row r="346" spans="1:10" x14ac:dyDescent="0.3">
      <c r="A346" s="3" t="s">
        <v>306</v>
      </c>
      <c r="B346" t="str">
        <f>VLOOKUP(pmsurya[[#This Row],[state]],State!$A$2:$B$37,2,0)</f>
        <v xml:space="preserve"> Madhya Pradesh</v>
      </c>
      <c r="C346" t="s">
        <v>354</v>
      </c>
      <c r="D346" s="5">
        <v>482</v>
      </c>
      <c r="E346" s="5">
        <v>312</v>
      </c>
      <c r="F346" s="5">
        <v>312</v>
      </c>
      <c r="G346" s="5">
        <v>1267</v>
      </c>
      <c r="H346" s="4">
        <v>19500000</v>
      </c>
      <c r="I346" s="5">
        <f>pmsurya[[#This Row],[applications]]-pmsurya[[#This Row],[installations]]</f>
        <v>170</v>
      </c>
      <c r="J346" s="6">
        <f>(pmsurya[[#This Row],[installations]]/pmsurya[[#This Row],[applications]])</f>
        <v>0.64730290456431538</v>
      </c>
    </row>
    <row r="347" spans="1:10" x14ac:dyDescent="0.3">
      <c r="A347" s="3" t="s">
        <v>306</v>
      </c>
      <c r="B347" t="str">
        <f>VLOOKUP(pmsurya[[#This Row],[state]],State!$A$2:$B$37,2,0)</f>
        <v xml:space="preserve"> Madhya Pradesh</v>
      </c>
      <c r="C347" t="s">
        <v>355</v>
      </c>
      <c r="D347" s="5">
        <v>1641</v>
      </c>
      <c r="E347" s="5">
        <v>1017</v>
      </c>
      <c r="F347" s="5">
        <v>1017</v>
      </c>
      <c r="G347" s="5">
        <v>4222</v>
      </c>
      <c r="H347" s="4">
        <v>65267160</v>
      </c>
      <c r="I347" s="5">
        <f>pmsurya[[#This Row],[applications]]-pmsurya[[#This Row],[installations]]</f>
        <v>624</v>
      </c>
      <c r="J347" s="6">
        <f>(pmsurya[[#This Row],[installations]]/pmsurya[[#This Row],[applications]])</f>
        <v>0.61974405850091407</v>
      </c>
    </row>
    <row r="348" spans="1:10" x14ac:dyDescent="0.3">
      <c r="A348" s="3" t="s">
        <v>306</v>
      </c>
      <c r="B348" t="str">
        <f>VLOOKUP(pmsurya[[#This Row],[state]],State!$A$2:$B$37,2,0)</f>
        <v xml:space="preserve"> Madhya Pradesh</v>
      </c>
      <c r="C348" t="s">
        <v>356</v>
      </c>
      <c r="D348" s="5">
        <v>379</v>
      </c>
      <c r="E348" s="5">
        <v>192</v>
      </c>
      <c r="F348" s="5">
        <v>192</v>
      </c>
      <c r="G348" s="5">
        <v>654</v>
      </c>
      <c r="H348" s="4">
        <v>12898920</v>
      </c>
      <c r="I348" s="5">
        <f>pmsurya[[#This Row],[applications]]-pmsurya[[#This Row],[installations]]</f>
        <v>187</v>
      </c>
      <c r="J348" s="6">
        <f>(pmsurya[[#This Row],[installations]]/pmsurya[[#This Row],[applications]])</f>
        <v>0.50659630606860162</v>
      </c>
    </row>
    <row r="349" spans="1:10" x14ac:dyDescent="0.3">
      <c r="A349" s="3" t="s">
        <v>306</v>
      </c>
      <c r="B349" t="str">
        <f>VLOOKUP(pmsurya[[#This Row],[state]],State!$A$2:$B$37,2,0)</f>
        <v xml:space="preserve"> Madhya Pradesh</v>
      </c>
      <c r="C349" t="s">
        <v>357</v>
      </c>
      <c r="D349" s="5">
        <v>959</v>
      </c>
      <c r="E349" s="5">
        <v>680</v>
      </c>
      <c r="F349" s="5">
        <v>680</v>
      </c>
      <c r="G349" s="5">
        <v>2538</v>
      </c>
      <c r="H349" s="4">
        <v>46685700</v>
      </c>
      <c r="I349" s="5">
        <f>pmsurya[[#This Row],[applications]]-pmsurya[[#This Row],[installations]]</f>
        <v>279</v>
      </c>
      <c r="J349" s="6">
        <f>(pmsurya[[#This Row],[installations]]/pmsurya[[#This Row],[applications]])</f>
        <v>0.70907194994786238</v>
      </c>
    </row>
    <row r="350" spans="1:10" x14ac:dyDescent="0.3">
      <c r="A350" s="3" t="s">
        <v>306</v>
      </c>
      <c r="B350" t="str">
        <f>VLOOKUP(pmsurya[[#This Row],[state]],State!$A$2:$B$37,2,0)</f>
        <v xml:space="preserve"> Madhya Pradesh</v>
      </c>
      <c r="C350" t="s">
        <v>358</v>
      </c>
      <c r="D350" s="5">
        <v>1792</v>
      </c>
      <c r="E350" s="5">
        <v>1177</v>
      </c>
      <c r="F350" s="5">
        <v>1177</v>
      </c>
      <c r="G350" s="5">
        <v>4203</v>
      </c>
      <c r="H350" s="4">
        <v>78623430</v>
      </c>
      <c r="I350" s="5">
        <f>pmsurya[[#This Row],[applications]]-pmsurya[[#This Row],[installations]]</f>
        <v>615</v>
      </c>
      <c r="J350" s="6">
        <f>(pmsurya[[#This Row],[installations]]/pmsurya[[#This Row],[applications]])</f>
        <v>0.6568080357142857</v>
      </c>
    </row>
    <row r="351" spans="1:10" x14ac:dyDescent="0.3">
      <c r="A351" s="3" t="s">
        <v>306</v>
      </c>
      <c r="B351" t="str">
        <f>VLOOKUP(pmsurya[[#This Row],[state]],State!$A$2:$B$37,2,0)</f>
        <v xml:space="preserve"> Madhya Pradesh</v>
      </c>
      <c r="C351" t="s">
        <v>359</v>
      </c>
      <c r="D351" s="5">
        <v>9135</v>
      </c>
      <c r="E351" s="5">
        <v>5145</v>
      </c>
      <c r="F351" s="5">
        <v>5145</v>
      </c>
      <c r="G351" s="5">
        <v>18392</v>
      </c>
      <c r="H351" s="4">
        <v>355931400</v>
      </c>
      <c r="I351" s="5">
        <f>pmsurya[[#This Row],[applications]]-pmsurya[[#This Row],[installations]]</f>
        <v>3990</v>
      </c>
      <c r="J351" s="6">
        <f>(pmsurya[[#This Row],[installations]]/pmsurya[[#This Row],[applications]])</f>
        <v>0.56321839080459768</v>
      </c>
    </row>
    <row r="352" spans="1:10" x14ac:dyDescent="0.3">
      <c r="A352" s="3" t="s">
        <v>306</v>
      </c>
      <c r="B352" t="str">
        <f>VLOOKUP(pmsurya[[#This Row],[state]],State!$A$2:$B$37,2,0)</f>
        <v xml:space="preserve"> Madhya Pradesh</v>
      </c>
      <c r="C352" t="s">
        <v>360</v>
      </c>
      <c r="D352" s="5">
        <v>337</v>
      </c>
      <c r="E352" s="5">
        <v>146</v>
      </c>
      <c r="F352" s="5">
        <v>146</v>
      </c>
      <c r="G352" s="5">
        <v>505</v>
      </c>
      <c r="H352" s="4">
        <v>8462580</v>
      </c>
      <c r="I352" s="5">
        <f>pmsurya[[#This Row],[applications]]-pmsurya[[#This Row],[installations]]</f>
        <v>191</v>
      </c>
      <c r="J352" s="6">
        <f>(pmsurya[[#This Row],[installations]]/pmsurya[[#This Row],[applications]])</f>
        <v>0.43323442136498519</v>
      </c>
    </row>
    <row r="353" spans="1:10" x14ac:dyDescent="0.3">
      <c r="A353" s="3" t="s">
        <v>306</v>
      </c>
      <c r="B353" t="str">
        <f>VLOOKUP(pmsurya[[#This Row],[state]],State!$A$2:$B$37,2,0)</f>
        <v xml:space="preserve"> Madhya Pradesh</v>
      </c>
      <c r="C353" t="s">
        <v>361</v>
      </c>
      <c r="D353" s="5">
        <v>5924</v>
      </c>
      <c r="E353" s="5">
        <v>4285</v>
      </c>
      <c r="F353" s="5">
        <v>4285</v>
      </c>
      <c r="G353" s="5">
        <v>15193</v>
      </c>
      <c r="H353" s="4">
        <v>289586760</v>
      </c>
      <c r="I353" s="5">
        <f>pmsurya[[#This Row],[applications]]-pmsurya[[#This Row],[installations]]</f>
        <v>1639</v>
      </c>
      <c r="J353" s="6">
        <f>(pmsurya[[#This Row],[installations]]/pmsurya[[#This Row],[applications]])</f>
        <v>0.7233288318703579</v>
      </c>
    </row>
    <row r="354" spans="1:10" x14ac:dyDescent="0.3">
      <c r="A354" s="3" t="s">
        <v>165</v>
      </c>
      <c r="B354" t="str">
        <f>VLOOKUP(pmsurya[[#This Row],[state]],State!$A$2:$B$37,2,0)</f>
        <v xml:space="preserve"> Gujarat</v>
      </c>
      <c r="C354" t="s">
        <v>166</v>
      </c>
      <c r="D354" s="5">
        <v>115370</v>
      </c>
      <c r="E354" s="5">
        <v>81156</v>
      </c>
      <c r="F354" s="5">
        <v>191893</v>
      </c>
      <c r="G354" s="5">
        <v>340084</v>
      </c>
      <c r="H354" s="4">
        <v>6111615666</v>
      </c>
      <c r="I354" s="5">
        <f>pmsurya[[#This Row],[applications]]-pmsurya[[#This Row],[installations]]</f>
        <v>34214</v>
      </c>
      <c r="J354" s="6">
        <f>(pmsurya[[#This Row],[installations]]/pmsurya[[#This Row],[applications]])</f>
        <v>0.70344110253965497</v>
      </c>
    </row>
    <row r="355" spans="1:10" x14ac:dyDescent="0.3">
      <c r="A355" s="3" t="s">
        <v>165</v>
      </c>
      <c r="B355" t="str">
        <f>VLOOKUP(pmsurya[[#This Row],[state]],State!$A$2:$B$37,2,0)</f>
        <v xml:space="preserve"> Gujarat</v>
      </c>
      <c r="C355" t="s">
        <v>167</v>
      </c>
      <c r="D355" s="5">
        <v>28143</v>
      </c>
      <c r="E355" s="5">
        <v>19341</v>
      </c>
      <c r="F355" s="5">
        <v>20029</v>
      </c>
      <c r="G355" s="5">
        <v>65374</v>
      </c>
      <c r="H355" s="4">
        <v>1375428090</v>
      </c>
      <c r="I355" s="5">
        <f>pmsurya[[#This Row],[applications]]-pmsurya[[#This Row],[installations]]</f>
        <v>8802</v>
      </c>
      <c r="J355" s="6">
        <f>(pmsurya[[#This Row],[installations]]/pmsurya[[#This Row],[applications]])</f>
        <v>0.6872401662935721</v>
      </c>
    </row>
    <row r="356" spans="1:10" x14ac:dyDescent="0.3">
      <c r="A356" s="3" t="s">
        <v>165</v>
      </c>
      <c r="B356" t="str">
        <f>VLOOKUP(pmsurya[[#This Row],[state]],State!$A$2:$B$37,2,0)</f>
        <v xml:space="preserve"> Gujarat</v>
      </c>
      <c r="C356" t="s">
        <v>168</v>
      </c>
      <c r="D356" s="5">
        <v>35522</v>
      </c>
      <c r="E356" s="5">
        <v>23395</v>
      </c>
      <c r="F356" s="5">
        <v>27543</v>
      </c>
      <c r="G356" s="5">
        <v>92407</v>
      </c>
      <c r="H356" s="4">
        <v>1686364554</v>
      </c>
      <c r="I356" s="5">
        <f>pmsurya[[#This Row],[applications]]-pmsurya[[#This Row],[installations]]</f>
        <v>12127</v>
      </c>
      <c r="J356" s="6">
        <f>(pmsurya[[#This Row],[installations]]/pmsurya[[#This Row],[applications]])</f>
        <v>0.65860593435054338</v>
      </c>
    </row>
    <row r="357" spans="1:10" x14ac:dyDescent="0.3">
      <c r="A357" s="3" t="s">
        <v>165</v>
      </c>
      <c r="B357" t="str">
        <f>VLOOKUP(pmsurya[[#This Row],[state]],State!$A$2:$B$37,2,0)</f>
        <v xml:space="preserve"> Gujarat</v>
      </c>
      <c r="C357" t="s">
        <v>169</v>
      </c>
      <c r="D357" s="5">
        <v>12409</v>
      </c>
      <c r="E357" s="5">
        <v>5148</v>
      </c>
      <c r="F357" s="5">
        <v>5291</v>
      </c>
      <c r="G357" s="5">
        <v>18583</v>
      </c>
      <c r="H357" s="4">
        <v>381652560</v>
      </c>
      <c r="I357" s="5">
        <f>pmsurya[[#This Row],[applications]]-pmsurya[[#This Row],[installations]]</f>
        <v>7261</v>
      </c>
      <c r="J357" s="6">
        <f>(pmsurya[[#This Row],[installations]]/pmsurya[[#This Row],[applications]])</f>
        <v>0.41486018212587639</v>
      </c>
    </row>
    <row r="358" spans="1:10" x14ac:dyDescent="0.3">
      <c r="A358" s="3" t="s">
        <v>165</v>
      </c>
      <c r="B358" t="str">
        <f>VLOOKUP(pmsurya[[#This Row],[state]],State!$A$2:$B$37,2,0)</f>
        <v xml:space="preserve"> Gujarat</v>
      </c>
      <c r="C358" t="s">
        <v>170</v>
      </c>
      <c r="D358" s="5">
        <v>54290</v>
      </c>
      <c r="E358" s="5">
        <v>26233</v>
      </c>
      <c r="F358" s="5">
        <v>26364</v>
      </c>
      <c r="G358" s="5">
        <v>88800</v>
      </c>
      <c r="H358" s="4">
        <v>1862628930</v>
      </c>
      <c r="I358" s="5">
        <f>pmsurya[[#This Row],[applications]]-pmsurya[[#This Row],[installations]]</f>
        <v>28057</v>
      </c>
      <c r="J358" s="6">
        <f>(pmsurya[[#This Row],[installations]]/pmsurya[[#This Row],[applications]])</f>
        <v>0.48320132621108858</v>
      </c>
    </row>
    <row r="359" spans="1:10" x14ac:dyDescent="0.3">
      <c r="A359" s="3" t="s">
        <v>165</v>
      </c>
      <c r="B359" t="str">
        <f>VLOOKUP(pmsurya[[#This Row],[state]],State!$A$2:$B$37,2,0)</f>
        <v xml:space="preserve"> Gujarat</v>
      </c>
      <c r="C359" t="s">
        <v>171</v>
      </c>
      <c r="D359" s="5">
        <v>32556</v>
      </c>
      <c r="E359" s="5">
        <v>20042</v>
      </c>
      <c r="F359" s="5">
        <v>24451</v>
      </c>
      <c r="G359" s="5">
        <v>79901</v>
      </c>
      <c r="H359" s="4">
        <v>1486050030</v>
      </c>
      <c r="I359" s="5">
        <f>pmsurya[[#This Row],[applications]]-pmsurya[[#This Row],[installations]]</f>
        <v>12514</v>
      </c>
      <c r="J359" s="6">
        <f>(pmsurya[[#This Row],[installations]]/pmsurya[[#This Row],[applications]])</f>
        <v>0.61561616906253835</v>
      </c>
    </row>
    <row r="360" spans="1:10" x14ac:dyDescent="0.3">
      <c r="A360" s="3" t="s">
        <v>165</v>
      </c>
      <c r="B360" t="str">
        <f>VLOOKUP(pmsurya[[#This Row],[state]],State!$A$2:$B$37,2,0)</f>
        <v xml:space="preserve"> Gujarat</v>
      </c>
      <c r="C360" t="s">
        <v>172</v>
      </c>
      <c r="D360" s="5">
        <v>50834</v>
      </c>
      <c r="E360" s="5">
        <v>32610</v>
      </c>
      <c r="F360" s="5">
        <v>38993</v>
      </c>
      <c r="G360" s="5">
        <v>113753</v>
      </c>
      <c r="H360" s="4">
        <v>2319823230</v>
      </c>
      <c r="I360" s="5">
        <f>pmsurya[[#This Row],[applications]]-pmsurya[[#This Row],[installations]]</f>
        <v>18224</v>
      </c>
      <c r="J360" s="6">
        <f>(pmsurya[[#This Row],[installations]]/pmsurya[[#This Row],[applications]])</f>
        <v>0.6414997836093953</v>
      </c>
    </row>
    <row r="361" spans="1:10" x14ac:dyDescent="0.3">
      <c r="A361" s="3" t="s">
        <v>165</v>
      </c>
      <c r="B361" t="str">
        <f>VLOOKUP(pmsurya[[#This Row],[state]],State!$A$2:$B$37,2,0)</f>
        <v xml:space="preserve"> Gujarat</v>
      </c>
      <c r="C361" t="s">
        <v>173</v>
      </c>
      <c r="D361" s="5">
        <v>8356</v>
      </c>
      <c r="E361" s="5">
        <v>6550</v>
      </c>
      <c r="F361" s="5">
        <v>6604</v>
      </c>
      <c r="G361" s="5">
        <v>22773</v>
      </c>
      <c r="H361" s="4">
        <v>490763310</v>
      </c>
      <c r="I361" s="5">
        <f>pmsurya[[#This Row],[applications]]-pmsurya[[#This Row],[installations]]</f>
        <v>1806</v>
      </c>
      <c r="J361" s="6">
        <f>(pmsurya[[#This Row],[installations]]/pmsurya[[#This Row],[applications]])</f>
        <v>0.78386787936811875</v>
      </c>
    </row>
    <row r="362" spans="1:10" x14ac:dyDescent="0.3">
      <c r="A362" s="3" t="s">
        <v>165</v>
      </c>
      <c r="B362" t="str">
        <f>VLOOKUP(pmsurya[[#This Row],[state]],State!$A$2:$B$37,2,0)</f>
        <v xml:space="preserve"> Gujarat</v>
      </c>
      <c r="C362" t="s">
        <v>174</v>
      </c>
      <c r="D362" s="5">
        <v>3787</v>
      </c>
      <c r="E362" s="5">
        <v>898</v>
      </c>
      <c r="F362" s="5">
        <v>1014</v>
      </c>
      <c r="G362" s="5">
        <v>3620</v>
      </c>
      <c r="H362" s="4">
        <v>61883670</v>
      </c>
      <c r="I362" s="5">
        <f>pmsurya[[#This Row],[applications]]-pmsurya[[#This Row],[installations]]</f>
        <v>2889</v>
      </c>
      <c r="J362" s="6">
        <f>(pmsurya[[#This Row],[installations]]/pmsurya[[#This Row],[applications]])</f>
        <v>0.23712701346712436</v>
      </c>
    </row>
    <row r="363" spans="1:10" x14ac:dyDescent="0.3">
      <c r="A363" s="3" t="s">
        <v>165</v>
      </c>
      <c r="B363" t="str">
        <f>VLOOKUP(pmsurya[[#This Row],[state]],State!$A$2:$B$37,2,0)</f>
        <v xml:space="preserve"> Gujarat</v>
      </c>
      <c r="C363" t="s">
        <v>175</v>
      </c>
      <c r="D363" s="5">
        <v>8375</v>
      </c>
      <c r="E363" s="5">
        <v>2738</v>
      </c>
      <c r="F363" s="5">
        <v>3110</v>
      </c>
      <c r="G363" s="5">
        <v>11023</v>
      </c>
      <c r="H363" s="4">
        <v>187344540</v>
      </c>
      <c r="I363" s="5">
        <f>pmsurya[[#This Row],[applications]]-pmsurya[[#This Row],[installations]]</f>
        <v>5637</v>
      </c>
      <c r="J363" s="6">
        <f>(pmsurya[[#This Row],[installations]]/pmsurya[[#This Row],[applications]])</f>
        <v>0.32692537313432835</v>
      </c>
    </row>
    <row r="364" spans="1:10" x14ac:dyDescent="0.3">
      <c r="A364" s="3" t="s">
        <v>165</v>
      </c>
      <c r="B364" t="str">
        <f>VLOOKUP(pmsurya[[#This Row],[state]],State!$A$2:$B$37,2,0)</f>
        <v xml:space="preserve"> Gujarat</v>
      </c>
      <c r="C364" t="s">
        <v>176</v>
      </c>
      <c r="D364" s="5">
        <v>2720</v>
      </c>
      <c r="E364" s="5">
        <v>135</v>
      </c>
      <c r="F364" s="5">
        <v>135</v>
      </c>
      <c r="G364" s="5">
        <v>558</v>
      </c>
      <c r="H364" s="4">
        <v>10003230</v>
      </c>
      <c r="I364" s="5">
        <f>pmsurya[[#This Row],[applications]]-pmsurya[[#This Row],[installations]]</f>
        <v>2585</v>
      </c>
      <c r="J364" s="6">
        <f>(pmsurya[[#This Row],[installations]]/pmsurya[[#This Row],[applications]])</f>
        <v>4.9632352941176468E-2</v>
      </c>
    </row>
    <row r="365" spans="1:10" x14ac:dyDescent="0.3">
      <c r="A365" s="3" t="s">
        <v>165</v>
      </c>
      <c r="B365" t="str">
        <f>VLOOKUP(pmsurya[[#This Row],[state]],State!$A$2:$B$37,2,0)</f>
        <v xml:space="preserve"> Gujarat</v>
      </c>
      <c r="C365" t="s">
        <v>177</v>
      </c>
      <c r="D365" s="5">
        <v>4164</v>
      </c>
      <c r="E365" s="5">
        <v>1942</v>
      </c>
      <c r="F365" s="5">
        <v>3031</v>
      </c>
      <c r="G365" s="5">
        <v>7152</v>
      </c>
      <c r="H365" s="4">
        <v>141050010</v>
      </c>
      <c r="I365" s="5">
        <f>pmsurya[[#This Row],[applications]]-pmsurya[[#This Row],[installations]]</f>
        <v>2222</v>
      </c>
      <c r="J365" s="6">
        <f>(pmsurya[[#This Row],[installations]]/pmsurya[[#This Row],[applications]])</f>
        <v>0.46637848222862632</v>
      </c>
    </row>
    <row r="366" spans="1:10" x14ac:dyDescent="0.3">
      <c r="A366" s="3" t="s">
        <v>165</v>
      </c>
      <c r="B366" t="str">
        <f>VLOOKUP(pmsurya[[#This Row],[state]],State!$A$2:$B$37,2,0)</f>
        <v xml:space="preserve"> Gujarat</v>
      </c>
      <c r="C366" t="s">
        <v>178</v>
      </c>
      <c r="D366" s="5">
        <v>29933</v>
      </c>
      <c r="E366" s="5">
        <v>15345</v>
      </c>
      <c r="F366" s="5">
        <v>31069</v>
      </c>
      <c r="G366" s="5">
        <v>60161</v>
      </c>
      <c r="H366" s="4">
        <v>1125970830</v>
      </c>
      <c r="I366" s="5">
        <f>pmsurya[[#This Row],[applications]]-pmsurya[[#This Row],[installations]]</f>
        <v>14588</v>
      </c>
      <c r="J366" s="6">
        <f>(pmsurya[[#This Row],[installations]]/pmsurya[[#This Row],[applications]])</f>
        <v>0.51264490695887477</v>
      </c>
    </row>
    <row r="367" spans="1:10" x14ac:dyDescent="0.3">
      <c r="A367" s="3" t="s">
        <v>165</v>
      </c>
      <c r="B367" t="str">
        <f>VLOOKUP(pmsurya[[#This Row],[state]],State!$A$2:$B$37,2,0)</f>
        <v xml:space="preserve"> Gujarat</v>
      </c>
      <c r="C367" t="s">
        <v>179</v>
      </c>
      <c r="D367" s="5">
        <v>11257</v>
      </c>
      <c r="E367" s="5">
        <v>8345</v>
      </c>
      <c r="F367" s="5">
        <v>8368</v>
      </c>
      <c r="G367" s="5">
        <v>29296</v>
      </c>
      <c r="H367" s="4">
        <v>616743150</v>
      </c>
      <c r="I367" s="5">
        <f>pmsurya[[#This Row],[applications]]-pmsurya[[#This Row],[installations]]</f>
        <v>2912</v>
      </c>
      <c r="J367" s="6">
        <f>(pmsurya[[#This Row],[installations]]/pmsurya[[#This Row],[applications]])</f>
        <v>0.74131651416896149</v>
      </c>
    </row>
    <row r="368" spans="1:10" x14ac:dyDescent="0.3">
      <c r="A368" s="3" t="s">
        <v>165</v>
      </c>
      <c r="B368" t="str">
        <f>VLOOKUP(pmsurya[[#This Row],[state]],State!$A$2:$B$37,2,0)</f>
        <v xml:space="preserve"> Gujarat</v>
      </c>
      <c r="C368" t="s">
        <v>180</v>
      </c>
      <c r="D368" s="5">
        <v>31809</v>
      </c>
      <c r="E368" s="5">
        <v>22489</v>
      </c>
      <c r="F368" s="5">
        <v>25095</v>
      </c>
      <c r="G368" s="5">
        <v>81017</v>
      </c>
      <c r="H368" s="4">
        <v>1644957000</v>
      </c>
      <c r="I368" s="5">
        <f>pmsurya[[#This Row],[applications]]-pmsurya[[#This Row],[installations]]</f>
        <v>9320</v>
      </c>
      <c r="J368" s="6">
        <f>(pmsurya[[#This Row],[installations]]/pmsurya[[#This Row],[applications]])</f>
        <v>0.70700116319280704</v>
      </c>
    </row>
    <row r="369" spans="1:10" x14ac:dyDescent="0.3">
      <c r="A369" s="3" t="s">
        <v>165</v>
      </c>
      <c r="B369" t="str">
        <f>VLOOKUP(pmsurya[[#This Row],[state]],State!$A$2:$B$37,2,0)</f>
        <v xml:space="preserve"> Gujarat</v>
      </c>
      <c r="C369" t="s">
        <v>181</v>
      </c>
      <c r="D369" s="5">
        <v>51258</v>
      </c>
      <c r="E369" s="5">
        <v>35418</v>
      </c>
      <c r="F369" s="5">
        <v>41624</v>
      </c>
      <c r="G369" s="5">
        <v>121774</v>
      </c>
      <c r="H369" s="4">
        <v>2556583920</v>
      </c>
      <c r="I369" s="5">
        <f>pmsurya[[#This Row],[applications]]-pmsurya[[#This Row],[installations]]</f>
        <v>15840</v>
      </c>
      <c r="J369" s="6">
        <f>(pmsurya[[#This Row],[installations]]/pmsurya[[#This Row],[applications]])</f>
        <v>0.69097506730656677</v>
      </c>
    </row>
    <row r="370" spans="1:10" x14ac:dyDescent="0.3">
      <c r="A370" s="3" t="s">
        <v>165</v>
      </c>
      <c r="B370" t="str">
        <f>VLOOKUP(pmsurya[[#This Row],[state]],State!$A$2:$B$37,2,0)</f>
        <v xml:space="preserve"> Gujarat</v>
      </c>
      <c r="C370" t="s">
        <v>182</v>
      </c>
      <c r="D370" s="5">
        <v>29161</v>
      </c>
      <c r="E370" s="5">
        <v>19773</v>
      </c>
      <c r="F370" s="5">
        <v>19966</v>
      </c>
      <c r="G370" s="5">
        <v>76750</v>
      </c>
      <c r="H370" s="4">
        <v>1418080482</v>
      </c>
      <c r="I370" s="5">
        <f>pmsurya[[#This Row],[applications]]-pmsurya[[#This Row],[installations]]</f>
        <v>9388</v>
      </c>
      <c r="J370" s="6">
        <f>(pmsurya[[#This Row],[installations]]/pmsurya[[#This Row],[applications]])</f>
        <v>0.67806316655807419</v>
      </c>
    </row>
    <row r="371" spans="1:10" x14ac:dyDescent="0.3">
      <c r="A371" s="3" t="s">
        <v>165</v>
      </c>
      <c r="B371" t="str">
        <f>VLOOKUP(pmsurya[[#This Row],[state]],State!$A$2:$B$37,2,0)</f>
        <v xml:space="preserve"> Gujarat</v>
      </c>
      <c r="C371" t="s">
        <v>183</v>
      </c>
      <c r="D371" s="5">
        <v>24894</v>
      </c>
      <c r="E371" s="5">
        <v>14950</v>
      </c>
      <c r="F371" s="5">
        <v>16063</v>
      </c>
      <c r="G371" s="5">
        <v>57493</v>
      </c>
      <c r="H371" s="4">
        <v>1074191220</v>
      </c>
      <c r="I371" s="5">
        <f>pmsurya[[#This Row],[applications]]-pmsurya[[#This Row],[installations]]</f>
        <v>9944</v>
      </c>
      <c r="J371" s="6">
        <f>(pmsurya[[#This Row],[installations]]/pmsurya[[#This Row],[applications]])</f>
        <v>0.60054631638145739</v>
      </c>
    </row>
    <row r="372" spans="1:10" x14ac:dyDescent="0.3">
      <c r="A372" s="3" t="s">
        <v>165</v>
      </c>
      <c r="B372" t="str">
        <f>VLOOKUP(pmsurya[[#This Row],[state]],State!$A$2:$B$37,2,0)</f>
        <v xml:space="preserve"> Gujarat</v>
      </c>
      <c r="C372" t="s">
        <v>184</v>
      </c>
      <c r="D372" s="5">
        <v>52699</v>
      </c>
      <c r="E372" s="5">
        <v>34247</v>
      </c>
      <c r="F372" s="5">
        <v>35327</v>
      </c>
      <c r="G372" s="5">
        <v>115139</v>
      </c>
      <c r="H372" s="4">
        <v>2406698406</v>
      </c>
      <c r="I372" s="5">
        <f>pmsurya[[#This Row],[applications]]-pmsurya[[#This Row],[installations]]</f>
        <v>18452</v>
      </c>
      <c r="J372" s="6">
        <f>(pmsurya[[#This Row],[installations]]/pmsurya[[#This Row],[applications]])</f>
        <v>0.64986052866278299</v>
      </c>
    </row>
    <row r="373" spans="1:10" x14ac:dyDescent="0.3">
      <c r="A373" s="3" t="s">
        <v>165</v>
      </c>
      <c r="B373" t="str">
        <f>VLOOKUP(pmsurya[[#This Row],[state]],State!$A$2:$B$37,2,0)</f>
        <v xml:space="preserve"> Gujarat</v>
      </c>
      <c r="C373" t="s">
        <v>185</v>
      </c>
      <c r="D373" s="5">
        <v>6179</v>
      </c>
      <c r="E373" s="5">
        <v>3070</v>
      </c>
      <c r="F373" s="5">
        <v>3070</v>
      </c>
      <c r="G373" s="5">
        <v>10992</v>
      </c>
      <c r="H373" s="4">
        <v>212298630</v>
      </c>
      <c r="I373" s="5">
        <f>pmsurya[[#This Row],[applications]]-pmsurya[[#This Row],[installations]]</f>
        <v>3109</v>
      </c>
      <c r="J373" s="6">
        <f>(pmsurya[[#This Row],[installations]]/pmsurya[[#This Row],[applications]])</f>
        <v>0.49684414953876033</v>
      </c>
    </row>
    <row r="374" spans="1:10" x14ac:dyDescent="0.3">
      <c r="A374" s="3" t="s">
        <v>165</v>
      </c>
      <c r="B374" t="str">
        <f>VLOOKUP(pmsurya[[#This Row],[state]],State!$A$2:$B$37,2,0)</f>
        <v xml:space="preserve"> Gujarat</v>
      </c>
      <c r="C374" t="s">
        <v>186</v>
      </c>
      <c r="D374" s="5">
        <v>16498</v>
      </c>
      <c r="E374" s="5">
        <v>13184</v>
      </c>
      <c r="F374" s="5">
        <v>15244</v>
      </c>
      <c r="G374" s="5">
        <v>47399</v>
      </c>
      <c r="H374" s="4">
        <v>984798030</v>
      </c>
      <c r="I374" s="5">
        <f>pmsurya[[#This Row],[applications]]-pmsurya[[#This Row],[installations]]</f>
        <v>3314</v>
      </c>
      <c r="J374" s="6">
        <f>(pmsurya[[#This Row],[installations]]/pmsurya[[#This Row],[applications]])</f>
        <v>0.79912716692932473</v>
      </c>
    </row>
    <row r="375" spans="1:10" x14ac:dyDescent="0.3">
      <c r="A375" s="3" t="s">
        <v>165</v>
      </c>
      <c r="B375" t="str">
        <f>VLOOKUP(pmsurya[[#This Row],[state]],State!$A$2:$B$37,2,0)</f>
        <v xml:space="preserve"> Gujarat</v>
      </c>
      <c r="C375" t="s">
        <v>187</v>
      </c>
      <c r="D375" s="5">
        <v>5196</v>
      </c>
      <c r="E375" s="5">
        <v>1302</v>
      </c>
      <c r="F375" s="5">
        <v>1302</v>
      </c>
      <c r="G375" s="5">
        <v>4936</v>
      </c>
      <c r="H375" s="4">
        <v>93474600</v>
      </c>
      <c r="I375" s="5">
        <f>pmsurya[[#This Row],[applications]]-pmsurya[[#This Row],[installations]]</f>
        <v>3894</v>
      </c>
      <c r="J375" s="6">
        <f>(pmsurya[[#This Row],[installations]]/pmsurya[[#This Row],[applications]])</f>
        <v>0.25057736720554274</v>
      </c>
    </row>
    <row r="376" spans="1:10" x14ac:dyDescent="0.3">
      <c r="A376" s="3" t="s">
        <v>165</v>
      </c>
      <c r="B376" t="str">
        <f>VLOOKUP(pmsurya[[#This Row],[state]],State!$A$2:$B$37,2,0)</f>
        <v xml:space="preserve"> Gujarat</v>
      </c>
      <c r="C376" t="s">
        <v>188</v>
      </c>
      <c r="D376" s="5">
        <v>23724</v>
      </c>
      <c r="E376" s="5">
        <v>11251</v>
      </c>
      <c r="F376" s="5">
        <v>14956</v>
      </c>
      <c r="G376" s="5">
        <v>45956</v>
      </c>
      <c r="H376" s="4">
        <v>845231790</v>
      </c>
      <c r="I376" s="5">
        <f>pmsurya[[#This Row],[applications]]-pmsurya[[#This Row],[installations]]</f>
        <v>12473</v>
      </c>
      <c r="J376" s="6">
        <f>(pmsurya[[#This Row],[installations]]/pmsurya[[#This Row],[applications]])</f>
        <v>0.47424548979935932</v>
      </c>
    </row>
    <row r="377" spans="1:10" x14ac:dyDescent="0.3">
      <c r="A377" s="3" t="s">
        <v>165</v>
      </c>
      <c r="B377" t="str">
        <f>VLOOKUP(pmsurya[[#This Row],[state]],State!$A$2:$B$37,2,0)</f>
        <v xml:space="preserve"> Gujarat</v>
      </c>
      <c r="C377" t="s">
        <v>189</v>
      </c>
      <c r="D377" s="5">
        <v>12392</v>
      </c>
      <c r="E377" s="5">
        <v>6785</v>
      </c>
      <c r="F377" s="5">
        <v>6848</v>
      </c>
      <c r="G377" s="5">
        <v>26433</v>
      </c>
      <c r="H377" s="4">
        <v>489830940</v>
      </c>
      <c r="I377" s="5">
        <f>pmsurya[[#This Row],[applications]]-pmsurya[[#This Row],[installations]]</f>
        <v>5607</v>
      </c>
      <c r="J377" s="6">
        <f>(pmsurya[[#This Row],[installations]]/pmsurya[[#This Row],[applications]])</f>
        <v>0.54753066494512592</v>
      </c>
    </row>
    <row r="378" spans="1:10" x14ac:dyDescent="0.3">
      <c r="A378" s="3" t="s">
        <v>165</v>
      </c>
      <c r="B378" t="str">
        <f>VLOOKUP(pmsurya[[#This Row],[state]],State!$A$2:$B$37,2,0)</f>
        <v xml:space="preserve"> Gujarat</v>
      </c>
      <c r="C378" t="s">
        <v>190</v>
      </c>
      <c r="D378" s="5">
        <v>26054</v>
      </c>
      <c r="E378" s="5">
        <v>13605</v>
      </c>
      <c r="F378" s="5">
        <v>13933</v>
      </c>
      <c r="G378" s="5">
        <v>47789</v>
      </c>
      <c r="H378" s="4">
        <v>969278418</v>
      </c>
      <c r="I378" s="5">
        <f>pmsurya[[#This Row],[applications]]-pmsurya[[#This Row],[installations]]</f>
        <v>12449</v>
      </c>
      <c r="J378" s="6">
        <f>(pmsurya[[#This Row],[installations]]/pmsurya[[#This Row],[applications]])</f>
        <v>0.52218469332923922</v>
      </c>
    </row>
    <row r="379" spans="1:10" x14ac:dyDescent="0.3">
      <c r="A379" s="3" t="s">
        <v>165</v>
      </c>
      <c r="B379" t="str">
        <f>VLOOKUP(pmsurya[[#This Row],[state]],State!$A$2:$B$37,2,0)</f>
        <v xml:space="preserve"> Gujarat</v>
      </c>
      <c r="C379" t="s">
        <v>191</v>
      </c>
      <c r="D379" s="5">
        <v>11949</v>
      </c>
      <c r="E379" s="5">
        <v>8063</v>
      </c>
      <c r="F379" s="5">
        <v>8174</v>
      </c>
      <c r="G379" s="5">
        <v>28535</v>
      </c>
      <c r="H379" s="4">
        <v>583099320</v>
      </c>
      <c r="I379" s="5">
        <f>pmsurya[[#This Row],[applications]]-pmsurya[[#This Row],[installations]]</f>
        <v>3886</v>
      </c>
      <c r="J379" s="6">
        <f>(pmsurya[[#This Row],[installations]]/pmsurya[[#This Row],[applications]])</f>
        <v>0.67478450079504559</v>
      </c>
    </row>
    <row r="380" spans="1:10" x14ac:dyDescent="0.3">
      <c r="A380" s="3" t="s">
        <v>165</v>
      </c>
      <c r="B380" t="str">
        <f>VLOOKUP(pmsurya[[#This Row],[state]],State!$A$2:$B$37,2,0)</f>
        <v xml:space="preserve"> Gujarat</v>
      </c>
      <c r="C380" t="s">
        <v>192</v>
      </c>
      <c r="D380" s="5">
        <v>100920</v>
      </c>
      <c r="E380" s="5">
        <v>76444</v>
      </c>
      <c r="F380" s="5">
        <v>102755</v>
      </c>
      <c r="G380" s="5">
        <v>277859</v>
      </c>
      <c r="H380" s="4">
        <v>5690798232</v>
      </c>
      <c r="I380" s="5">
        <f>pmsurya[[#This Row],[applications]]-pmsurya[[#This Row],[installations]]</f>
        <v>24476</v>
      </c>
      <c r="J380" s="6">
        <f>(pmsurya[[#This Row],[installations]]/pmsurya[[#This Row],[applications]])</f>
        <v>0.75747126436781609</v>
      </c>
    </row>
    <row r="381" spans="1:10" x14ac:dyDescent="0.3">
      <c r="A381" s="3" t="s">
        <v>165</v>
      </c>
      <c r="B381" t="str">
        <f>VLOOKUP(pmsurya[[#This Row],[state]],State!$A$2:$B$37,2,0)</f>
        <v xml:space="preserve"> Gujarat</v>
      </c>
      <c r="C381" t="s">
        <v>193</v>
      </c>
      <c r="D381" s="5">
        <v>41195</v>
      </c>
      <c r="E381" s="5">
        <v>22338</v>
      </c>
      <c r="F381" s="5">
        <v>23379</v>
      </c>
      <c r="G381" s="5">
        <v>78062</v>
      </c>
      <c r="H381" s="4">
        <v>1642841520</v>
      </c>
      <c r="I381" s="5">
        <f>pmsurya[[#This Row],[applications]]-pmsurya[[#This Row],[installations]]</f>
        <v>18857</v>
      </c>
      <c r="J381" s="6">
        <f>(pmsurya[[#This Row],[installations]]/pmsurya[[#This Row],[applications]])</f>
        <v>0.54225027309139462</v>
      </c>
    </row>
    <row r="382" spans="1:10" x14ac:dyDescent="0.3">
      <c r="A382" s="3" t="s">
        <v>165</v>
      </c>
      <c r="B382" t="str">
        <f>VLOOKUP(pmsurya[[#This Row],[state]],State!$A$2:$B$37,2,0)</f>
        <v xml:space="preserve"> Gujarat</v>
      </c>
      <c r="C382" t="s">
        <v>194</v>
      </c>
      <c r="D382" s="5">
        <v>126491</v>
      </c>
      <c r="E382" s="5">
        <v>87748</v>
      </c>
      <c r="F382" s="5">
        <v>143059</v>
      </c>
      <c r="G382" s="5">
        <v>334930</v>
      </c>
      <c r="H382" s="4">
        <v>6606945510</v>
      </c>
      <c r="I382" s="5">
        <f>pmsurya[[#This Row],[applications]]-pmsurya[[#This Row],[installations]]</f>
        <v>38743</v>
      </c>
      <c r="J382" s="6">
        <f>(pmsurya[[#This Row],[installations]]/pmsurya[[#This Row],[applications]])</f>
        <v>0.69370943387276562</v>
      </c>
    </row>
    <row r="383" spans="1:10" x14ac:dyDescent="0.3">
      <c r="A383" s="3" t="s">
        <v>165</v>
      </c>
      <c r="B383" t="str">
        <f>VLOOKUP(pmsurya[[#This Row],[state]],State!$A$2:$B$37,2,0)</f>
        <v xml:space="preserve"> Gujarat</v>
      </c>
      <c r="C383" t="s">
        <v>195</v>
      </c>
      <c r="D383" s="5">
        <v>22076</v>
      </c>
      <c r="E383" s="5">
        <v>16310</v>
      </c>
      <c r="F383" s="5">
        <v>23336</v>
      </c>
      <c r="G383" s="5">
        <v>58103</v>
      </c>
      <c r="H383" s="4">
        <v>1187021940</v>
      </c>
      <c r="I383" s="5">
        <f>pmsurya[[#This Row],[applications]]-pmsurya[[#This Row],[installations]]</f>
        <v>5766</v>
      </c>
      <c r="J383" s="6">
        <f>(pmsurya[[#This Row],[installations]]/pmsurya[[#This Row],[applications]])</f>
        <v>0.7388113788729842</v>
      </c>
    </row>
    <row r="384" spans="1:10" x14ac:dyDescent="0.3">
      <c r="A384" s="3" t="s">
        <v>165</v>
      </c>
      <c r="B384" t="str">
        <f>VLOOKUP(pmsurya[[#This Row],[state]],State!$A$2:$B$37,2,0)</f>
        <v xml:space="preserve"> Gujarat</v>
      </c>
      <c r="C384" t="s">
        <v>196</v>
      </c>
      <c r="D384" s="5">
        <v>7777</v>
      </c>
      <c r="E384" s="5">
        <v>2429</v>
      </c>
      <c r="F384" s="5">
        <v>2810</v>
      </c>
      <c r="G384" s="5">
        <v>9951</v>
      </c>
      <c r="H384" s="4">
        <v>175659720</v>
      </c>
      <c r="I384" s="5">
        <f>pmsurya[[#This Row],[applications]]-pmsurya[[#This Row],[installations]]</f>
        <v>5348</v>
      </c>
      <c r="J384" s="6">
        <f>(pmsurya[[#This Row],[installations]]/pmsurya[[#This Row],[applications]])</f>
        <v>0.31233123312331235</v>
      </c>
    </row>
    <row r="385" spans="1:10" x14ac:dyDescent="0.3">
      <c r="A385" s="3" t="s">
        <v>165</v>
      </c>
      <c r="B385" t="str">
        <f>VLOOKUP(pmsurya[[#This Row],[state]],State!$A$2:$B$37,2,0)</f>
        <v xml:space="preserve"> Gujarat</v>
      </c>
      <c r="C385" t="s">
        <v>197</v>
      </c>
      <c r="D385" s="5">
        <v>82868</v>
      </c>
      <c r="E385" s="5">
        <v>58837</v>
      </c>
      <c r="F385" s="5">
        <v>114723</v>
      </c>
      <c r="G385" s="5">
        <v>232246</v>
      </c>
      <c r="H385" s="4">
        <v>4241592378</v>
      </c>
      <c r="I385" s="5">
        <f>pmsurya[[#This Row],[applications]]-pmsurya[[#This Row],[installations]]</f>
        <v>24031</v>
      </c>
      <c r="J385" s="6">
        <f>(pmsurya[[#This Row],[installations]]/pmsurya[[#This Row],[applications]])</f>
        <v>0.71000868851667709</v>
      </c>
    </row>
    <row r="386" spans="1:10" x14ac:dyDescent="0.3">
      <c r="A386" s="3" t="s">
        <v>165</v>
      </c>
      <c r="B386" t="str">
        <f>VLOOKUP(pmsurya[[#This Row],[state]],State!$A$2:$B$37,2,0)</f>
        <v xml:space="preserve"> Gujarat</v>
      </c>
      <c r="C386" t="s">
        <v>198</v>
      </c>
      <c r="D386" s="5">
        <v>29336</v>
      </c>
      <c r="E386" s="5">
        <v>10245</v>
      </c>
      <c r="F386" s="5">
        <v>12460</v>
      </c>
      <c r="G386" s="5">
        <v>42279</v>
      </c>
      <c r="H386" s="4">
        <v>767414040</v>
      </c>
      <c r="I386" s="5">
        <f>pmsurya[[#This Row],[applications]]-pmsurya[[#This Row],[installations]]</f>
        <v>19091</v>
      </c>
      <c r="J386" s="6">
        <f>(pmsurya[[#This Row],[installations]]/pmsurya[[#This Row],[applications]])</f>
        <v>0.34922961548950093</v>
      </c>
    </row>
    <row r="387" spans="1:10" x14ac:dyDescent="0.3">
      <c r="A387" s="3" t="s">
        <v>362</v>
      </c>
      <c r="B387" t="str">
        <f>VLOOKUP(pmsurya[[#This Row],[state]],State!$A$2:$B$37,2,0)</f>
        <v xml:space="preserve"> Maharashtra</v>
      </c>
      <c r="C387" t="s">
        <v>363</v>
      </c>
      <c r="D387" s="5">
        <v>63421</v>
      </c>
      <c r="E387" s="5">
        <v>23911</v>
      </c>
      <c r="F387" s="5">
        <v>24559</v>
      </c>
      <c r="G387" s="5">
        <v>80647</v>
      </c>
      <c r="H387" s="4">
        <v>1676876040</v>
      </c>
      <c r="I387" s="5">
        <f>pmsurya[[#This Row],[applications]]-pmsurya[[#This Row],[installations]]</f>
        <v>39510</v>
      </c>
      <c r="J387" s="6">
        <f>(pmsurya[[#This Row],[installations]]/pmsurya[[#This Row],[applications]])</f>
        <v>0.37702022989230699</v>
      </c>
    </row>
    <row r="388" spans="1:10" x14ac:dyDescent="0.3">
      <c r="A388" s="3" t="s">
        <v>362</v>
      </c>
      <c r="B388" t="str">
        <f>VLOOKUP(pmsurya[[#This Row],[state]],State!$A$2:$B$37,2,0)</f>
        <v xml:space="preserve"> Maharashtra</v>
      </c>
      <c r="C388" t="s">
        <v>364</v>
      </c>
      <c r="D388" s="5">
        <v>29848</v>
      </c>
      <c r="E388" s="5">
        <v>16776</v>
      </c>
      <c r="F388" s="5">
        <v>16821</v>
      </c>
      <c r="G388" s="5">
        <v>60622</v>
      </c>
      <c r="H388" s="4">
        <v>1135809000</v>
      </c>
      <c r="I388" s="5">
        <f>pmsurya[[#This Row],[applications]]-pmsurya[[#This Row],[installations]]</f>
        <v>13072</v>
      </c>
      <c r="J388" s="6">
        <f>(pmsurya[[#This Row],[installations]]/pmsurya[[#This Row],[applications]])</f>
        <v>0.56204770838917184</v>
      </c>
    </row>
    <row r="389" spans="1:10" x14ac:dyDescent="0.3">
      <c r="A389" s="3" t="s">
        <v>362</v>
      </c>
      <c r="B389" t="str">
        <f>VLOOKUP(pmsurya[[#This Row],[state]],State!$A$2:$B$37,2,0)</f>
        <v xml:space="preserve"> Maharashtra</v>
      </c>
      <c r="C389" t="s">
        <v>365</v>
      </c>
      <c r="D389" s="5">
        <v>52192</v>
      </c>
      <c r="E389" s="5">
        <v>36514</v>
      </c>
      <c r="F389" s="5">
        <v>37301</v>
      </c>
      <c r="G389" s="5">
        <v>129474</v>
      </c>
      <c r="H389" s="4">
        <v>2544696552</v>
      </c>
      <c r="I389" s="5">
        <f>pmsurya[[#This Row],[applications]]-pmsurya[[#This Row],[installations]]</f>
        <v>15678</v>
      </c>
      <c r="J389" s="6">
        <f>(pmsurya[[#This Row],[installations]]/pmsurya[[#This Row],[applications]])</f>
        <v>0.69960913549969339</v>
      </c>
    </row>
    <row r="390" spans="1:10" x14ac:dyDescent="0.3">
      <c r="A390" s="3" t="s">
        <v>362</v>
      </c>
      <c r="B390" t="str">
        <f>VLOOKUP(pmsurya[[#This Row],[state]],State!$A$2:$B$37,2,0)</f>
        <v xml:space="preserve"> Maharashtra</v>
      </c>
      <c r="C390" t="s">
        <v>366</v>
      </c>
      <c r="D390" s="5">
        <v>19620</v>
      </c>
      <c r="E390" s="5">
        <v>8664</v>
      </c>
      <c r="F390" s="5">
        <v>8687</v>
      </c>
      <c r="G390" s="5">
        <v>32677</v>
      </c>
      <c r="H390" s="4">
        <v>598291920</v>
      </c>
      <c r="I390" s="5">
        <f>pmsurya[[#This Row],[applications]]-pmsurya[[#This Row],[installations]]</f>
        <v>10956</v>
      </c>
      <c r="J390" s="6">
        <f>(pmsurya[[#This Row],[installations]]/pmsurya[[#This Row],[applications]])</f>
        <v>0.44159021406727827</v>
      </c>
    </row>
    <row r="391" spans="1:10" x14ac:dyDescent="0.3">
      <c r="A391" s="3" t="s">
        <v>362</v>
      </c>
      <c r="B391" t="str">
        <f>VLOOKUP(pmsurya[[#This Row],[state]],State!$A$2:$B$37,2,0)</f>
        <v xml:space="preserve"> Maharashtra</v>
      </c>
      <c r="C391" t="s">
        <v>367</v>
      </c>
      <c r="D391" s="5">
        <v>26386</v>
      </c>
      <c r="E391" s="5">
        <v>12656</v>
      </c>
      <c r="F391" s="5">
        <v>12673</v>
      </c>
      <c r="G391" s="5">
        <v>43408</v>
      </c>
      <c r="H391" s="4">
        <v>865685040</v>
      </c>
      <c r="I391" s="5">
        <f>pmsurya[[#This Row],[applications]]-pmsurya[[#This Row],[installations]]</f>
        <v>13730</v>
      </c>
      <c r="J391" s="6">
        <f>(pmsurya[[#This Row],[installations]]/pmsurya[[#This Row],[applications]])</f>
        <v>0.47964829834002881</v>
      </c>
    </row>
    <row r="392" spans="1:10" x14ac:dyDescent="0.3">
      <c r="A392" s="3" t="s">
        <v>362</v>
      </c>
      <c r="B392" t="str">
        <f>VLOOKUP(pmsurya[[#This Row],[state]],State!$A$2:$B$37,2,0)</f>
        <v xml:space="preserve"> Maharashtra</v>
      </c>
      <c r="C392" t="s">
        <v>368</v>
      </c>
      <c r="D392" s="5">
        <v>40503</v>
      </c>
      <c r="E392" s="5">
        <v>20064</v>
      </c>
      <c r="F392" s="5">
        <v>20354</v>
      </c>
      <c r="G392" s="5">
        <v>69900</v>
      </c>
      <c r="H392" s="4">
        <v>1449005280</v>
      </c>
      <c r="I392" s="5">
        <f>pmsurya[[#This Row],[applications]]-pmsurya[[#This Row],[installations]]</f>
        <v>20439</v>
      </c>
      <c r="J392" s="6">
        <f>(pmsurya[[#This Row],[installations]]/pmsurya[[#This Row],[applications]])</f>
        <v>0.49537071328049775</v>
      </c>
    </row>
    <row r="393" spans="1:10" x14ac:dyDescent="0.3">
      <c r="A393" s="3" t="s">
        <v>362</v>
      </c>
      <c r="B393" t="str">
        <f>VLOOKUP(pmsurya[[#This Row],[state]],State!$A$2:$B$37,2,0)</f>
        <v xml:space="preserve"> Maharashtra</v>
      </c>
      <c r="C393" t="s">
        <v>369</v>
      </c>
      <c r="D393" s="5">
        <v>31314</v>
      </c>
      <c r="E393" s="5">
        <v>17340</v>
      </c>
      <c r="F393" s="5">
        <v>17340</v>
      </c>
      <c r="G393" s="5">
        <v>63040</v>
      </c>
      <c r="H393" s="4">
        <v>1170684600</v>
      </c>
      <c r="I393" s="5">
        <f>pmsurya[[#This Row],[applications]]-pmsurya[[#This Row],[installations]]</f>
        <v>13974</v>
      </c>
      <c r="J393" s="6">
        <f>(pmsurya[[#This Row],[installations]]/pmsurya[[#This Row],[applications]])</f>
        <v>0.55374592833876224</v>
      </c>
    </row>
    <row r="394" spans="1:10" x14ac:dyDescent="0.3">
      <c r="A394" s="3" t="s">
        <v>362</v>
      </c>
      <c r="B394" t="str">
        <f>VLOOKUP(pmsurya[[#This Row],[state]],State!$A$2:$B$37,2,0)</f>
        <v xml:space="preserve"> Maharashtra</v>
      </c>
      <c r="C394" t="s">
        <v>370</v>
      </c>
      <c r="D394" s="5">
        <v>62727</v>
      </c>
      <c r="E394" s="5">
        <v>41357</v>
      </c>
      <c r="F394" s="5">
        <v>44704</v>
      </c>
      <c r="G394" s="5">
        <v>143265</v>
      </c>
      <c r="H394" s="4">
        <v>2960490150</v>
      </c>
      <c r="I394" s="5">
        <f>pmsurya[[#This Row],[applications]]-pmsurya[[#This Row],[installations]]</f>
        <v>21370</v>
      </c>
      <c r="J394" s="6">
        <f>(pmsurya[[#This Row],[installations]]/pmsurya[[#This Row],[applications]])</f>
        <v>0.65931735935083779</v>
      </c>
    </row>
    <row r="395" spans="1:10" x14ac:dyDescent="0.3">
      <c r="A395" s="3" t="s">
        <v>362</v>
      </c>
      <c r="B395" t="str">
        <f>VLOOKUP(pmsurya[[#This Row],[state]],State!$A$2:$B$37,2,0)</f>
        <v xml:space="preserve"> Maharashtra</v>
      </c>
      <c r="C395" t="s">
        <v>371</v>
      </c>
      <c r="D395" s="5">
        <v>14090</v>
      </c>
      <c r="E395" s="5">
        <v>4217</v>
      </c>
      <c r="F395" s="5">
        <v>4515</v>
      </c>
      <c r="G395" s="5">
        <v>15198</v>
      </c>
      <c r="H395" s="4">
        <v>299157240</v>
      </c>
      <c r="I395" s="5">
        <f>pmsurya[[#This Row],[applications]]-pmsurya[[#This Row],[installations]]</f>
        <v>9873</v>
      </c>
      <c r="J395" s="6">
        <f>(pmsurya[[#This Row],[installations]]/pmsurya[[#This Row],[applications]])</f>
        <v>0.29929027679205111</v>
      </c>
    </row>
    <row r="396" spans="1:10" x14ac:dyDescent="0.3">
      <c r="A396" s="3" t="s">
        <v>362</v>
      </c>
      <c r="B396" t="str">
        <f>VLOOKUP(pmsurya[[#This Row],[state]],State!$A$2:$B$37,2,0)</f>
        <v xml:space="preserve"> Maharashtra</v>
      </c>
      <c r="C396" t="s">
        <v>372</v>
      </c>
      <c r="D396" s="5">
        <v>43942</v>
      </c>
      <c r="E396" s="5">
        <v>17556</v>
      </c>
      <c r="F396" s="5">
        <v>17730</v>
      </c>
      <c r="G396" s="5">
        <v>62236</v>
      </c>
      <c r="H396" s="4">
        <v>1264061820</v>
      </c>
      <c r="I396" s="5">
        <f>pmsurya[[#This Row],[applications]]-pmsurya[[#This Row],[installations]]</f>
        <v>26386</v>
      </c>
      <c r="J396" s="6">
        <f>(pmsurya[[#This Row],[installations]]/pmsurya[[#This Row],[applications]])</f>
        <v>0.39952664876428018</v>
      </c>
    </row>
    <row r="397" spans="1:10" x14ac:dyDescent="0.3">
      <c r="A397" s="3" t="s">
        <v>362</v>
      </c>
      <c r="B397" t="str">
        <f>VLOOKUP(pmsurya[[#This Row],[state]],State!$A$2:$B$37,2,0)</f>
        <v xml:space="preserve"> Maharashtra</v>
      </c>
      <c r="C397" t="s">
        <v>373</v>
      </c>
      <c r="D397" s="5">
        <v>10616</v>
      </c>
      <c r="E397" s="5">
        <v>3774</v>
      </c>
      <c r="F397" s="5">
        <v>3774</v>
      </c>
      <c r="G397" s="5">
        <v>13730</v>
      </c>
      <c r="H397" s="4">
        <v>242882280</v>
      </c>
      <c r="I397" s="5">
        <f>pmsurya[[#This Row],[applications]]-pmsurya[[#This Row],[installations]]</f>
        <v>6842</v>
      </c>
      <c r="J397" s="6">
        <f>(pmsurya[[#This Row],[installations]]/pmsurya[[#This Row],[applications]])</f>
        <v>0.35550113036925396</v>
      </c>
    </row>
    <row r="398" spans="1:10" x14ac:dyDescent="0.3">
      <c r="A398" s="3" t="s">
        <v>362</v>
      </c>
      <c r="B398" t="str">
        <f>VLOOKUP(pmsurya[[#This Row],[state]],State!$A$2:$B$37,2,0)</f>
        <v xml:space="preserve"> Maharashtra</v>
      </c>
      <c r="C398" t="s">
        <v>374</v>
      </c>
      <c r="D398" s="5">
        <v>16511</v>
      </c>
      <c r="E398" s="5">
        <v>8853</v>
      </c>
      <c r="F398" s="5">
        <v>8892</v>
      </c>
      <c r="G398" s="5">
        <v>31997</v>
      </c>
      <c r="H398" s="4">
        <v>564260250</v>
      </c>
      <c r="I398" s="5">
        <f>pmsurya[[#This Row],[applications]]-pmsurya[[#This Row],[installations]]</f>
        <v>7658</v>
      </c>
      <c r="J398" s="6">
        <f>(pmsurya[[#This Row],[installations]]/pmsurya[[#This Row],[applications]])</f>
        <v>0.53618799588153354</v>
      </c>
    </row>
    <row r="399" spans="1:10" x14ac:dyDescent="0.3">
      <c r="A399" s="3" t="s">
        <v>362</v>
      </c>
      <c r="B399" t="str">
        <f>VLOOKUP(pmsurya[[#This Row],[state]],State!$A$2:$B$37,2,0)</f>
        <v xml:space="preserve"> Maharashtra</v>
      </c>
      <c r="C399" t="s">
        <v>375</v>
      </c>
      <c r="D399" s="5">
        <v>7338</v>
      </c>
      <c r="E399" s="5">
        <v>3397</v>
      </c>
      <c r="F399" s="5">
        <v>3397</v>
      </c>
      <c r="G399" s="5">
        <v>12344</v>
      </c>
      <c r="H399" s="4">
        <v>241199460</v>
      </c>
      <c r="I399" s="5">
        <f>pmsurya[[#This Row],[applications]]-pmsurya[[#This Row],[installations]]</f>
        <v>3941</v>
      </c>
      <c r="J399" s="6">
        <f>(pmsurya[[#This Row],[installations]]/pmsurya[[#This Row],[applications]])</f>
        <v>0.46293267920414283</v>
      </c>
    </row>
    <row r="400" spans="1:10" x14ac:dyDescent="0.3">
      <c r="A400" s="3" t="s">
        <v>362</v>
      </c>
      <c r="B400" t="str">
        <f>VLOOKUP(pmsurya[[#This Row],[state]],State!$A$2:$B$37,2,0)</f>
        <v xml:space="preserve"> Maharashtra</v>
      </c>
      <c r="C400" t="s">
        <v>376</v>
      </c>
      <c r="D400" s="5">
        <v>85246</v>
      </c>
      <c r="E400" s="5">
        <v>43900</v>
      </c>
      <c r="F400" s="5">
        <v>45035</v>
      </c>
      <c r="G400" s="5">
        <v>155347</v>
      </c>
      <c r="H400" s="4">
        <v>3010951740</v>
      </c>
      <c r="I400" s="5">
        <f>pmsurya[[#This Row],[applications]]-pmsurya[[#This Row],[installations]]</f>
        <v>41346</v>
      </c>
      <c r="J400" s="6">
        <f>(pmsurya[[#This Row],[installations]]/pmsurya[[#This Row],[applications]])</f>
        <v>0.51498017502287496</v>
      </c>
    </row>
    <row r="401" spans="1:10" x14ac:dyDescent="0.3">
      <c r="A401" s="3" t="s">
        <v>362</v>
      </c>
      <c r="B401" t="str">
        <f>VLOOKUP(pmsurya[[#This Row],[state]],State!$A$2:$B$37,2,0)</f>
        <v xml:space="preserve"> Maharashtra</v>
      </c>
      <c r="C401" t="s">
        <v>377</v>
      </c>
      <c r="D401" s="5">
        <v>17907</v>
      </c>
      <c r="E401" s="5">
        <v>10087</v>
      </c>
      <c r="F401" s="5">
        <v>10102</v>
      </c>
      <c r="G401" s="5">
        <v>35259</v>
      </c>
      <c r="H401" s="4">
        <v>708759810</v>
      </c>
      <c r="I401" s="5">
        <f>pmsurya[[#This Row],[applications]]-pmsurya[[#This Row],[installations]]</f>
        <v>7820</v>
      </c>
      <c r="J401" s="6">
        <f>(pmsurya[[#This Row],[installations]]/pmsurya[[#This Row],[applications]])</f>
        <v>0.56329926844250855</v>
      </c>
    </row>
    <row r="402" spans="1:10" x14ac:dyDescent="0.3">
      <c r="A402" s="3" t="s">
        <v>362</v>
      </c>
      <c r="B402" t="str">
        <f>VLOOKUP(pmsurya[[#This Row],[state]],State!$A$2:$B$37,2,0)</f>
        <v xml:space="preserve"> Maharashtra</v>
      </c>
      <c r="C402" t="s">
        <v>378</v>
      </c>
      <c r="D402" s="5">
        <v>61917</v>
      </c>
      <c r="E402" s="5">
        <v>26160</v>
      </c>
      <c r="F402" s="5">
        <v>28741</v>
      </c>
      <c r="G402" s="5">
        <v>89946</v>
      </c>
      <c r="H402" s="4">
        <v>1836075624</v>
      </c>
      <c r="I402" s="5">
        <f>pmsurya[[#This Row],[applications]]-pmsurya[[#This Row],[installations]]</f>
        <v>35757</v>
      </c>
      <c r="J402" s="6">
        <f>(pmsurya[[#This Row],[installations]]/pmsurya[[#This Row],[applications]])</f>
        <v>0.42250109016909732</v>
      </c>
    </row>
    <row r="403" spans="1:10" x14ac:dyDescent="0.3">
      <c r="A403" s="3" t="s">
        <v>362</v>
      </c>
      <c r="B403" t="str">
        <f>VLOOKUP(pmsurya[[#This Row],[state]],State!$A$2:$B$37,2,0)</f>
        <v xml:space="preserve"> Maharashtra</v>
      </c>
      <c r="C403" t="s">
        <v>379</v>
      </c>
      <c r="D403" s="5">
        <v>47001</v>
      </c>
      <c r="E403" s="5">
        <v>15039</v>
      </c>
      <c r="F403" s="5">
        <v>16540</v>
      </c>
      <c r="G403" s="5">
        <v>53067</v>
      </c>
      <c r="H403" s="4">
        <v>1050825120</v>
      </c>
      <c r="I403" s="5">
        <f>pmsurya[[#This Row],[applications]]-pmsurya[[#This Row],[installations]]</f>
        <v>31962</v>
      </c>
      <c r="J403" s="6">
        <f>(pmsurya[[#This Row],[installations]]/pmsurya[[#This Row],[applications]])</f>
        <v>0.31997191549115978</v>
      </c>
    </row>
    <row r="404" spans="1:10" x14ac:dyDescent="0.3">
      <c r="A404" s="3" t="s">
        <v>362</v>
      </c>
      <c r="B404" t="str">
        <f>VLOOKUP(pmsurya[[#This Row],[state]],State!$A$2:$B$37,2,0)</f>
        <v xml:space="preserve"> Maharashtra</v>
      </c>
      <c r="C404" t="s">
        <v>380</v>
      </c>
      <c r="D404" s="5">
        <v>233</v>
      </c>
      <c r="E404" s="5">
        <v>144</v>
      </c>
      <c r="F404" s="5">
        <v>7395</v>
      </c>
      <c r="G404" s="5">
        <v>3404</v>
      </c>
      <c r="H404" s="4">
        <v>51670410</v>
      </c>
      <c r="I404" s="5">
        <f>pmsurya[[#This Row],[applications]]-pmsurya[[#This Row],[installations]]</f>
        <v>89</v>
      </c>
      <c r="J404" s="6">
        <f>(pmsurya[[#This Row],[installations]]/pmsurya[[#This Row],[applications]])</f>
        <v>0.61802575107296143</v>
      </c>
    </row>
    <row r="405" spans="1:10" x14ac:dyDescent="0.3">
      <c r="A405" s="3" t="s">
        <v>362</v>
      </c>
      <c r="B405" t="str">
        <f>VLOOKUP(pmsurya[[#This Row],[state]],State!$A$2:$B$37,2,0)</f>
        <v xml:space="preserve"> Maharashtra</v>
      </c>
      <c r="C405" t="s">
        <v>381</v>
      </c>
      <c r="D405" s="5">
        <v>1235</v>
      </c>
      <c r="E405" s="5">
        <v>532</v>
      </c>
      <c r="F405" s="5">
        <v>26452</v>
      </c>
      <c r="G405" s="5">
        <v>13012</v>
      </c>
      <c r="H405" s="4">
        <v>200493930</v>
      </c>
      <c r="I405" s="5">
        <f>pmsurya[[#This Row],[applications]]-pmsurya[[#This Row],[installations]]</f>
        <v>703</v>
      </c>
      <c r="J405" s="6">
        <f>(pmsurya[[#This Row],[installations]]/pmsurya[[#This Row],[applications]])</f>
        <v>0.43076923076923079</v>
      </c>
    </row>
    <row r="406" spans="1:10" x14ac:dyDescent="0.3">
      <c r="A406" s="3" t="s">
        <v>362</v>
      </c>
      <c r="B406" t="str">
        <f>VLOOKUP(pmsurya[[#This Row],[state]],State!$A$2:$B$37,2,0)</f>
        <v xml:space="preserve"> Maharashtra</v>
      </c>
      <c r="C406" t="s">
        <v>382</v>
      </c>
      <c r="D406" s="5">
        <v>142281</v>
      </c>
      <c r="E406" s="5">
        <v>92483</v>
      </c>
      <c r="F406" s="5">
        <v>101516</v>
      </c>
      <c r="G406" s="5">
        <v>338100</v>
      </c>
      <c r="H406" s="4">
        <v>6391683078</v>
      </c>
      <c r="I406" s="5">
        <f>pmsurya[[#This Row],[applications]]-pmsurya[[#This Row],[installations]]</f>
        <v>49798</v>
      </c>
      <c r="J406" s="6">
        <f>(pmsurya[[#This Row],[installations]]/pmsurya[[#This Row],[applications]])</f>
        <v>0.65000245992086081</v>
      </c>
    </row>
    <row r="407" spans="1:10" x14ac:dyDescent="0.3">
      <c r="A407" s="3" t="s">
        <v>362</v>
      </c>
      <c r="B407" t="str">
        <f>VLOOKUP(pmsurya[[#This Row],[state]],State!$A$2:$B$37,2,0)</f>
        <v xml:space="preserve"> Maharashtra</v>
      </c>
      <c r="C407" t="s">
        <v>383</v>
      </c>
      <c r="D407" s="5">
        <v>20743</v>
      </c>
      <c r="E407" s="5">
        <v>10926</v>
      </c>
      <c r="F407" s="5">
        <v>12184</v>
      </c>
      <c r="G407" s="5">
        <v>44074</v>
      </c>
      <c r="H407" s="4">
        <v>767301480</v>
      </c>
      <c r="I407" s="5">
        <f>pmsurya[[#This Row],[applications]]-pmsurya[[#This Row],[installations]]</f>
        <v>9817</v>
      </c>
      <c r="J407" s="6">
        <f>(pmsurya[[#This Row],[installations]]/pmsurya[[#This Row],[applications]])</f>
        <v>0.5267319095598515</v>
      </c>
    </row>
    <row r="408" spans="1:10" x14ac:dyDescent="0.3">
      <c r="A408" s="3" t="s">
        <v>362</v>
      </c>
      <c r="B408" t="str">
        <f>VLOOKUP(pmsurya[[#This Row],[state]],State!$A$2:$B$37,2,0)</f>
        <v xml:space="preserve"> Maharashtra</v>
      </c>
      <c r="C408" t="s">
        <v>384</v>
      </c>
      <c r="D408" s="5">
        <v>24638</v>
      </c>
      <c r="E408" s="5">
        <v>8237</v>
      </c>
      <c r="F408" s="5">
        <v>8250</v>
      </c>
      <c r="G408" s="5">
        <v>29450</v>
      </c>
      <c r="H408" s="4">
        <v>565850460</v>
      </c>
      <c r="I408" s="5">
        <f>pmsurya[[#This Row],[applications]]-pmsurya[[#This Row],[installations]]</f>
        <v>16401</v>
      </c>
      <c r="J408" s="6">
        <f>(pmsurya[[#This Row],[installations]]/pmsurya[[#This Row],[applications]])</f>
        <v>0.33432096761100738</v>
      </c>
    </row>
    <row r="409" spans="1:10" x14ac:dyDescent="0.3">
      <c r="A409" s="3" t="s">
        <v>362</v>
      </c>
      <c r="B409" t="str">
        <f>VLOOKUP(pmsurya[[#This Row],[state]],State!$A$2:$B$37,2,0)</f>
        <v xml:space="preserve"> Maharashtra</v>
      </c>
      <c r="C409" t="s">
        <v>385</v>
      </c>
      <c r="D409" s="5">
        <v>111762</v>
      </c>
      <c r="E409" s="5">
        <v>39119</v>
      </c>
      <c r="F409" s="5">
        <v>66779</v>
      </c>
      <c r="G409" s="5">
        <v>138750</v>
      </c>
      <c r="H409" s="4">
        <v>2718890820</v>
      </c>
      <c r="I409" s="5">
        <f>pmsurya[[#This Row],[applications]]-pmsurya[[#This Row],[installations]]</f>
        <v>72643</v>
      </c>
      <c r="J409" s="6">
        <f>(pmsurya[[#This Row],[installations]]/pmsurya[[#This Row],[applications]])</f>
        <v>0.3500205794456076</v>
      </c>
    </row>
    <row r="410" spans="1:10" x14ac:dyDescent="0.3">
      <c r="A410" s="3" t="s">
        <v>362</v>
      </c>
      <c r="B410" t="str">
        <f>VLOOKUP(pmsurya[[#This Row],[state]],State!$A$2:$B$37,2,0)</f>
        <v xml:space="preserve"> Maharashtra</v>
      </c>
      <c r="C410" t="s">
        <v>386</v>
      </c>
      <c r="D410" s="5">
        <v>14216</v>
      </c>
      <c r="E410" s="5">
        <v>2853</v>
      </c>
      <c r="F410" s="5">
        <v>10102</v>
      </c>
      <c r="G410" s="5">
        <v>12202</v>
      </c>
      <c r="H410" s="4">
        <v>210964230</v>
      </c>
      <c r="I410" s="5">
        <f>pmsurya[[#This Row],[applications]]-pmsurya[[#This Row],[installations]]</f>
        <v>11363</v>
      </c>
      <c r="J410" s="6">
        <f>(pmsurya[[#This Row],[installations]]/pmsurya[[#This Row],[applications]])</f>
        <v>0.20068936409679233</v>
      </c>
    </row>
    <row r="411" spans="1:10" x14ac:dyDescent="0.3">
      <c r="A411" s="3" t="s">
        <v>362</v>
      </c>
      <c r="B411" t="str">
        <f>VLOOKUP(pmsurya[[#This Row],[state]],State!$A$2:$B$37,2,0)</f>
        <v xml:space="preserve"> Maharashtra</v>
      </c>
      <c r="C411" t="s">
        <v>387</v>
      </c>
      <c r="D411" s="5">
        <v>13065</v>
      </c>
      <c r="E411" s="5">
        <v>8194</v>
      </c>
      <c r="F411" s="5">
        <v>8194</v>
      </c>
      <c r="G411" s="5">
        <v>29290</v>
      </c>
      <c r="H411" s="4">
        <v>573725340</v>
      </c>
      <c r="I411" s="5">
        <f>pmsurya[[#This Row],[applications]]-pmsurya[[#This Row],[installations]]</f>
        <v>4871</v>
      </c>
      <c r="J411" s="6">
        <f>(pmsurya[[#This Row],[installations]]/pmsurya[[#This Row],[applications]])</f>
        <v>0.62717183314198244</v>
      </c>
    </row>
    <row r="412" spans="1:10" x14ac:dyDescent="0.3">
      <c r="A412" s="3" t="s">
        <v>362</v>
      </c>
      <c r="B412" t="str">
        <f>VLOOKUP(pmsurya[[#This Row],[state]],State!$A$2:$B$37,2,0)</f>
        <v xml:space="preserve"> Maharashtra</v>
      </c>
      <c r="C412" t="s">
        <v>388</v>
      </c>
      <c r="D412" s="5">
        <v>88043</v>
      </c>
      <c r="E412" s="5">
        <v>43996</v>
      </c>
      <c r="F412" s="5">
        <v>224298</v>
      </c>
      <c r="G412" s="5">
        <v>197618</v>
      </c>
      <c r="H412" s="4">
        <v>3679086792</v>
      </c>
      <c r="I412" s="5">
        <f>pmsurya[[#This Row],[applications]]-pmsurya[[#This Row],[installations]]</f>
        <v>44047</v>
      </c>
      <c r="J412" s="6">
        <f>(pmsurya[[#This Row],[installations]]/pmsurya[[#This Row],[applications]])</f>
        <v>0.4997103687970651</v>
      </c>
    </row>
    <row r="413" spans="1:10" x14ac:dyDescent="0.3">
      <c r="A413" s="3" t="s">
        <v>362</v>
      </c>
      <c r="B413" t="str">
        <f>VLOOKUP(pmsurya[[#This Row],[state]],State!$A$2:$B$37,2,0)</f>
        <v xml:space="preserve"> Maharashtra</v>
      </c>
      <c r="C413" t="s">
        <v>389</v>
      </c>
      <c r="D413" s="5">
        <v>27433</v>
      </c>
      <c r="E413" s="5">
        <v>8323</v>
      </c>
      <c r="F413" s="5">
        <v>21093</v>
      </c>
      <c r="G413" s="5">
        <v>33323</v>
      </c>
      <c r="H413" s="4">
        <v>634117440</v>
      </c>
      <c r="I413" s="5">
        <f>pmsurya[[#This Row],[applications]]-pmsurya[[#This Row],[installations]]</f>
        <v>19110</v>
      </c>
      <c r="J413" s="6">
        <f>(pmsurya[[#This Row],[installations]]/pmsurya[[#This Row],[applications]])</f>
        <v>0.30339372288849198</v>
      </c>
    </row>
    <row r="414" spans="1:10" x14ac:dyDescent="0.3">
      <c r="A414" s="3" t="s">
        <v>362</v>
      </c>
      <c r="B414" t="str">
        <f>VLOOKUP(pmsurya[[#This Row],[state]],State!$A$2:$B$37,2,0)</f>
        <v xml:space="preserve"> Maharashtra</v>
      </c>
      <c r="C414" t="s">
        <v>390</v>
      </c>
      <c r="D414" s="5">
        <v>10995</v>
      </c>
      <c r="E414" s="5">
        <v>2224</v>
      </c>
      <c r="F414" s="5">
        <v>4658</v>
      </c>
      <c r="G414" s="5">
        <v>8044</v>
      </c>
      <c r="H414" s="4">
        <v>154357080</v>
      </c>
      <c r="I414" s="5">
        <f>pmsurya[[#This Row],[applications]]-pmsurya[[#This Row],[installations]]</f>
        <v>8771</v>
      </c>
      <c r="J414" s="6">
        <f>(pmsurya[[#This Row],[installations]]/pmsurya[[#This Row],[applications]])</f>
        <v>0.2022737608003638</v>
      </c>
    </row>
    <row r="415" spans="1:10" x14ac:dyDescent="0.3">
      <c r="A415" s="3" t="s">
        <v>362</v>
      </c>
      <c r="B415" t="str">
        <f>VLOOKUP(pmsurya[[#This Row],[state]],State!$A$2:$B$37,2,0)</f>
        <v xml:space="preserve"> Maharashtra</v>
      </c>
      <c r="C415" t="s">
        <v>391</v>
      </c>
      <c r="D415" s="5">
        <v>40034</v>
      </c>
      <c r="E415" s="5">
        <v>16281</v>
      </c>
      <c r="F415" s="5">
        <v>17200</v>
      </c>
      <c r="G415" s="5">
        <v>54362</v>
      </c>
      <c r="H415" s="4">
        <v>1116406740</v>
      </c>
      <c r="I415" s="5">
        <f>pmsurya[[#This Row],[applications]]-pmsurya[[#This Row],[installations]]</f>
        <v>23753</v>
      </c>
      <c r="J415" s="6">
        <f>(pmsurya[[#This Row],[installations]]/pmsurya[[#This Row],[applications]])</f>
        <v>0.40667932257581058</v>
      </c>
    </row>
    <row r="416" spans="1:10" x14ac:dyDescent="0.3">
      <c r="A416" s="3" t="s">
        <v>362</v>
      </c>
      <c r="B416" t="str">
        <f>VLOOKUP(pmsurya[[#This Row],[state]],State!$A$2:$B$37,2,0)</f>
        <v xml:space="preserve"> Maharashtra</v>
      </c>
      <c r="C416" t="s">
        <v>392</v>
      </c>
      <c r="D416" s="5">
        <v>61824</v>
      </c>
      <c r="E416" s="5">
        <v>12209</v>
      </c>
      <c r="F416" s="5">
        <v>14048</v>
      </c>
      <c r="G416" s="5">
        <v>39322</v>
      </c>
      <c r="H416" s="4">
        <v>785194350</v>
      </c>
      <c r="I416" s="5">
        <f>pmsurya[[#This Row],[applications]]-pmsurya[[#This Row],[installations]]</f>
        <v>49615</v>
      </c>
      <c r="J416" s="6">
        <f>(pmsurya[[#This Row],[installations]]/pmsurya[[#This Row],[applications]])</f>
        <v>0.19747994306418221</v>
      </c>
    </row>
    <row r="417" spans="1:10" x14ac:dyDescent="0.3">
      <c r="A417" s="3" t="s">
        <v>362</v>
      </c>
      <c r="B417" t="str">
        <f>VLOOKUP(pmsurya[[#This Row],[state]],State!$A$2:$B$37,2,0)</f>
        <v xml:space="preserve"> Maharashtra</v>
      </c>
      <c r="C417" t="s">
        <v>393</v>
      </c>
      <c r="D417" s="5">
        <v>5298</v>
      </c>
      <c r="E417" s="5">
        <v>1959</v>
      </c>
      <c r="F417" s="5">
        <v>1959</v>
      </c>
      <c r="G417" s="5">
        <v>6737</v>
      </c>
      <c r="H417" s="4">
        <v>129315570</v>
      </c>
      <c r="I417" s="5">
        <f>pmsurya[[#This Row],[applications]]-pmsurya[[#This Row],[installations]]</f>
        <v>3339</v>
      </c>
      <c r="J417" s="6">
        <f>(pmsurya[[#This Row],[installations]]/pmsurya[[#This Row],[applications]])</f>
        <v>0.36976217440543602</v>
      </c>
    </row>
    <row r="418" spans="1:10" x14ac:dyDescent="0.3">
      <c r="A418" s="3" t="s">
        <v>362</v>
      </c>
      <c r="B418" t="str">
        <f>VLOOKUP(pmsurya[[#This Row],[state]],State!$A$2:$B$37,2,0)</f>
        <v xml:space="preserve"> Maharashtra</v>
      </c>
      <c r="C418" t="s">
        <v>394</v>
      </c>
      <c r="D418" s="5">
        <v>56585</v>
      </c>
      <c r="E418" s="5">
        <v>22494</v>
      </c>
      <c r="F418" s="5">
        <v>23069</v>
      </c>
      <c r="G418" s="5">
        <v>78672</v>
      </c>
      <c r="H418" s="4">
        <v>1598355630</v>
      </c>
      <c r="I418" s="5">
        <f>pmsurya[[#This Row],[applications]]-pmsurya[[#This Row],[installations]]</f>
        <v>34091</v>
      </c>
      <c r="J418" s="6">
        <f>(pmsurya[[#This Row],[installations]]/pmsurya[[#This Row],[applications]])</f>
        <v>0.39752584607228064</v>
      </c>
    </row>
    <row r="419" spans="1:10" x14ac:dyDescent="0.3">
      <c r="A419" s="3" t="s">
        <v>362</v>
      </c>
      <c r="B419" t="str">
        <f>VLOOKUP(pmsurya[[#This Row],[state]],State!$A$2:$B$37,2,0)</f>
        <v xml:space="preserve"> Maharashtra</v>
      </c>
      <c r="C419" t="s">
        <v>395</v>
      </c>
      <c r="D419" s="5">
        <v>9239</v>
      </c>
      <c r="E419" s="5">
        <v>3426</v>
      </c>
      <c r="F419" s="5">
        <v>69785</v>
      </c>
      <c r="G419" s="5">
        <v>33711</v>
      </c>
      <c r="H419" s="4">
        <v>566444130</v>
      </c>
      <c r="I419" s="5">
        <f>pmsurya[[#This Row],[applications]]-pmsurya[[#This Row],[installations]]</f>
        <v>5813</v>
      </c>
      <c r="J419" s="6">
        <f>(pmsurya[[#This Row],[installations]]/pmsurya[[#This Row],[applications]])</f>
        <v>0.37081935274380345</v>
      </c>
    </row>
    <row r="420" spans="1:10" x14ac:dyDescent="0.3">
      <c r="A420" s="3" t="s">
        <v>362</v>
      </c>
      <c r="B420" t="str">
        <f>VLOOKUP(pmsurya[[#This Row],[state]],State!$A$2:$B$37,2,0)</f>
        <v xml:space="preserve"> Maharashtra</v>
      </c>
      <c r="C420" t="s">
        <v>396</v>
      </c>
      <c r="D420" s="5">
        <v>37894</v>
      </c>
      <c r="E420" s="5">
        <v>19269</v>
      </c>
      <c r="F420" s="5">
        <v>19303</v>
      </c>
      <c r="G420" s="5">
        <v>66301</v>
      </c>
      <c r="H420" s="4">
        <v>1366625190</v>
      </c>
      <c r="I420" s="5">
        <f>pmsurya[[#This Row],[applications]]-pmsurya[[#This Row],[installations]]</f>
        <v>18625</v>
      </c>
      <c r="J420" s="6">
        <f>(pmsurya[[#This Row],[installations]]/pmsurya[[#This Row],[applications]])</f>
        <v>0.50849738744920037</v>
      </c>
    </row>
    <row r="421" spans="1:10" x14ac:dyDescent="0.3">
      <c r="A421" s="3" t="s">
        <v>362</v>
      </c>
      <c r="B421" t="str">
        <f>VLOOKUP(pmsurya[[#This Row],[state]],State!$A$2:$B$37,2,0)</f>
        <v xml:space="preserve"> Maharashtra</v>
      </c>
      <c r="C421" t="s">
        <v>397</v>
      </c>
      <c r="D421" s="5">
        <v>12663</v>
      </c>
      <c r="E421" s="5">
        <v>7780</v>
      </c>
      <c r="F421" s="5">
        <v>7780</v>
      </c>
      <c r="G421" s="5">
        <v>27334</v>
      </c>
      <c r="H421" s="4">
        <v>544676220</v>
      </c>
      <c r="I421" s="5">
        <f>pmsurya[[#This Row],[applications]]-pmsurya[[#This Row],[installations]]</f>
        <v>4883</v>
      </c>
      <c r="J421" s="6">
        <f>(pmsurya[[#This Row],[installations]]/pmsurya[[#This Row],[applications]])</f>
        <v>0.61438837558240544</v>
      </c>
    </row>
    <row r="422" spans="1:10" x14ac:dyDescent="0.3">
      <c r="A422" s="3" t="s">
        <v>362</v>
      </c>
      <c r="B422" t="str">
        <f>VLOOKUP(pmsurya[[#This Row],[state]],State!$A$2:$B$37,2,0)</f>
        <v xml:space="preserve"> Maharashtra</v>
      </c>
      <c r="C422" t="s">
        <v>398</v>
      </c>
      <c r="D422" s="5">
        <v>30597</v>
      </c>
      <c r="E422" s="5">
        <v>16113</v>
      </c>
      <c r="F422" s="5">
        <v>16141</v>
      </c>
      <c r="G422" s="5">
        <v>58213</v>
      </c>
      <c r="H422" s="4">
        <v>1103086080</v>
      </c>
      <c r="I422" s="5">
        <f>pmsurya[[#This Row],[applications]]-pmsurya[[#This Row],[installations]]</f>
        <v>14484</v>
      </c>
      <c r="J422" s="6">
        <f>(pmsurya[[#This Row],[installations]]/pmsurya[[#This Row],[applications]])</f>
        <v>0.52662025688793024</v>
      </c>
    </row>
    <row r="423" spans="1:10" x14ac:dyDescent="0.3">
      <c r="A423" s="3" t="s">
        <v>8</v>
      </c>
      <c r="B423" t="str">
        <f>VLOOKUP(pmsurya[[#This Row],[state]],State!$A$2:$B$37,2,0)</f>
        <v xml:space="preserve"> Andhra Pradesh</v>
      </c>
      <c r="C423" t="s">
        <v>9</v>
      </c>
      <c r="D423" s="5">
        <v>16694</v>
      </c>
      <c r="E423" s="5">
        <v>979</v>
      </c>
      <c r="F423" s="5">
        <v>979</v>
      </c>
      <c r="G423" s="5">
        <v>2261</v>
      </c>
      <c r="H423" s="4">
        <v>5678520</v>
      </c>
      <c r="I423" s="5">
        <f>pmsurya[[#This Row],[applications]]-pmsurya[[#This Row],[installations]]</f>
        <v>15715</v>
      </c>
      <c r="J423" s="6">
        <f>(pmsurya[[#This Row],[installations]]/pmsurya[[#This Row],[applications]])</f>
        <v>5.8643824128429375E-2</v>
      </c>
    </row>
    <row r="424" spans="1:10" x14ac:dyDescent="0.3">
      <c r="A424" s="3" t="s">
        <v>8</v>
      </c>
      <c r="B424" t="str">
        <f>VLOOKUP(pmsurya[[#This Row],[state]],State!$A$2:$B$37,2,0)</f>
        <v xml:space="preserve"> Andhra Pradesh</v>
      </c>
      <c r="C424" t="s">
        <v>10</v>
      </c>
      <c r="D424" s="5">
        <v>28292</v>
      </c>
      <c r="E424" s="5">
        <v>8442</v>
      </c>
      <c r="F424" s="5">
        <v>8588</v>
      </c>
      <c r="G424" s="5">
        <v>26965</v>
      </c>
      <c r="H424" s="4">
        <v>501539040</v>
      </c>
      <c r="I424" s="5">
        <f>pmsurya[[#This Row],[applications]]-pmsurya[[#This Row],[installations]]</f>
        <v>19850</v>
      </c>
      <c r="J424" s="6">
        <f>(pmsurya[[#This Row],[installations]]/pmsurya[[#This Row],[applications]])</f>
        <v>0.29838823695744382</v>
      </c>
    </row>
    <row r="425" spans="1:10" x14ac:dyDescent="0.3">
      <c r="A425" s="3" t="s">
        <v>8</v>
      </c>
      <c r="B425" t="str">
        <f>VLOOKUP(pmsurya[[#This Row],[state]],State!$A$2:$B$37,2,0)</f>
        <v xml:space="preserve"> Andhra Pradesh</v>
      </c>
      <c r="C425" t="s">
        <v>11</v>
      </c>
      <c r="D425" s="5">
        <v>25841</v>
      </c>
      <c r="E425" s="5">
        <v>4495</v>
      </c>
      <c r="F425" s="5">
        <v>4495</v>
      </c>
      <c r="G425" s="5">
        <v>15274</v>
      </c>
      <c r="H425" s="4">
        <v>271286250</v>
      </c>
      <c r="I425" s="5">
        <f>pmsurya[[#This Row],[applications]]-pmsurya[[#This Row],[installations]]</f>
        <v>21346</v>
      </c>
      <c r="J425" s="6">
        <f>(pmsurya[[#This Row],[installations]]/pmsurya[[#This Row],[applications]])</f>
        <v>0.17394837661081228</v>
      </c>
    </row>
    <row r="426" spans="1:10" x14ac:dyDescent="0.3">
      <c r="A426" s="3" t="s">
        <v>8</v>
      </c>
      <c r="B426" t="str">
        <f>VLOOKUP(pmsurya[[#This Row],[state]],State!$A$2:$B$37,2,0)</f>
        <v xml:space="preserve"> Andhra Pradesh</v>
      </c>
      <c r="C426" t="s">
        <v>12</v>
      </c>
      <c r="D426" s="5">
        <v>26983</v>
      </c>
      <c r="E426" s="5">
        <v>3529</v>
      </c>
      <c r="F426" s="5">
        <v>3529</v>
      </c>
      <c r="G426" s="5">
        <v>11011</v>
      </c>
      <c r="H426" s="4">
        <v>170035770</v>
      </c>
      <c r="I426" s="5">
        <f>pmsurya[[#This Row],[applications]]-pmsurya[[#This Row],[installations]]</f>
        <v>23454</v>
      </c>
      <c r="J426" s="6">
        <f>(pmsurya[[#This Row],[installations]]/pmsurya[[#This Row],[applications]])</f>
        <v>0.13078605047622577</v>
      </c>
    </row>
    <row r="427" spans="1:10" x14ac:dyDescent="0.3">
      <c r="A427" s="3" t="s">
        <v>8</v>
      </c>
      <c r="B427" t="str">
        <f>VLOOKUP(pmsurya[[#This Row],[state]],State!$A$2:$B$37,2,0)</f>
        <v xml:space="preserve"> Andhra Pradesh</v>
      </c>
      <c r="C427" t="s">
        <v>13</v>
      </c>
      <c r="D427" s="5">
        <v>52696</v>
      </c>
      <c r="E427" s="5">
        <v>6927</v>
      </c>
      <c r="F427" s="5">
        <v>7053</v>
      </c>
      <c r="G427" s="5">
        <v>23463</v>
      </c>
      <c r="H427" s="4">
        <v>464598600</v>
      </c>
      <c r="I427" s="5">
        <f>pmsurya[[#This Row],[applications]]-pmsurya[[#This Row],[installations]]</f>
        <v>45769</v>
      </c>
      <c r="J427" s="6">
        <f>(pmsurya[[#This Row],[installations]]/pmsurya[[#This Row],[applications]])</f>
        <v>0.13145210262638529</v>
      </c>
    </row>
    <row r="428" spans="1:10" x14ac:dyDescent="0.3">
      <c r="A428" s="3" t="s">
        <v>8</v>
      </c>
      <c r="B428" t="str">
        <f>VLOOKUP(pmsurya[[#This Row],[state]],State!$A$2:$B$37,2,0)</f>
        <v xml:space="preserve"> Andhra Pradesh</v>
      </c>
      <c r="C428" t="s">
        <v>14</v>
      </c>
      <c r="D428" s="5">
        <v>45388</v>
      </c>
      <c r="E428" s="5">
        <v>2506</v>
      </c>
      <c r="F428" s="5">
        <v>2506</v>
      </c>
      <c r="G428" s="5">
        <v>7862</v>
      </c>
      <c r="H428" s="4">
        <v>133011480</v>
      </c>
      <c r="I428" s="5">
        <f>pmsurya[[#This Row],[applications]]-pmsurya[[#This Row],[installations]]</f>
        <v>42882</v>
      </c>
      <c r="J428" s="6">
        <f>(pmsurya[[#This Row],[installations]]/pmsurya[[#This Row],[applications]])</f>
        <v>5.5212831585441088E-2</v>
      </c>
    </row>
    <row r="429" spans="1:10" x14ac:dyDescent="0.3">
      <c r="A429" s="3" t="s">
        <v>8</v>
      </c>
      <c r="B429" t="str">
        <f>VLOOKUP(pmsurya[[#This Row],[state]],State!$A$2:$B$37,2,0)</f>
        <v xml:space="preserve"> Andhra Pradesh</v>
      </c>
      <c r="C429" t="s">
        <v>15</v>
      </c>
      <c r="D429" s="5">
        <v>33790</v>
      </c>
      <c r="E429" s="5">
        <v>9714</v>
      </c>
      <c r="F429" s="5">
        <v>9752</v>
      </c>
      <c r="G429" s="5">
        <v>33373</v>
      </c>
      <c r="H429" s="4">
        <v>637349280</v>
      </c>
      <c r="I429" s="5">
        <f>pmsurya[[#This Row],[applications]]-pmsurya[[#This Row],[installations]]</f>
        <v>24076</v>
      </c>
      <c r="J429" s="6">
        <f>(pmsurya[[#This Row],[installations]]/pmsurya[[#This Row],[applications]])</f>
        <v>0.28748150340337381</v>
      </c>
    </row>
    <row r="430" spans="1:10" x14ac:dyDescent="0.3">
      <c r="A430" s="3" t="s">
        <v>8</v>
      </c>
      <c r="B430" t="str">
        <f>VLOOKUP(pmsurya[[#This Row],[state]],State!$A$2:$B$37,2,0)</f>
        <v xml:space="preserve"> Andhra Pradesh</v>
      </c>
      <c r="C430" t="s">
        <v>16</v>
      </c>
      <c r="D430" s="5">
        <v>52959</v>
      </c>
      <c r="E430" s="5">
        <v>11669</v>
      </c>
      <c r="F430" s="5">
        <v>11669</v>
      </c>
      <c r="G430" s="5">
        <v>39738</v>
      </c>
      <c r="H430" s="4">
        <v>790560120</v>
      </c>
      <c r="I430" s="5">
        <f>pmsurya[[#This Row],[applications]]-pmsurya[[#This Row],[installations]]</f>
        <v>41290</v>
      </c>
      <c r="J430" s="6">
        <f>(pmsurya[[#This Row],[installations]]/pmsurya[[#This Row],[applications]])</f>
        <v>0.22034026322249287</v>
      </c>
    </row>
    <row r="431" spans="1:10" x14ac:dyDescent="0.3">
      <c r="A431" s="3" t="s">
        <v>8</v>
      </c>
      <c r="B431" t="str">
        <f>VLOOKUP(pmsurya[[#This Row],[state]],State!$A$2:$B$37,2,0)</f>
        <v xml:space="preserve"> Andhra Pradesh</v>
      </c>
      <c r="C431" t="s">
        <v>17</v>
      </c>
      <c r="D431" s="5">
        <v>76674</v>
      </c>
      <c r="E431" s="5">
        <v>10896</v>
      </c>
      <c r="F431" s="5">
        <v>11604</v>
      </c>
      <c r="G431" s="5">
        <v>37361</v>
      </c>
      <c r="H431" s="4">
        <v>678088020</v>
      </c>
      <c r="I431" s="5">
        <f>pmsurya[[#This Row],[applications]]-pmsurya[[#This Row],[installations]]</f>
        <v>65778</v>
      </c>
      <c r="J431" s="6">
        <f>(pmsurya[[#This Row],[installations]]/pmsurya[[#This Row],[applications]])</f>
        <v>0.14210814617732218</v>
      </c>
    </row>
    <row r="432" spans="1:10" x14ac:dyDescent="0.3">
      <c r="A432" s="3" t="s">
        <v>8</v>
      </c>
      <c r="B432" t="str">
        <f>VLOOKUP(pmsurya[[#This Row],[state]],State!$A$2:$B$37,2,0)</f>
        <v xml:space="preserve"> Andhra Pradesh</v>
      </c>
      <c r="C432" t="s">
        <v>18</v>
      </c>
      <c r="D432" s="5">
        <v>32299</v>
      </c>
      <c r="E432" s="5">
        <v>10132</v>
      </c>
      <c r="F432" s="5">
        <v>10175</v>
      </c>
      <c r="G432" s="5">
        <v>34822</v>
      </c>
      <c r="H432" s="4">
        <v>669054750</v>
      </c>
      <c r="I432" s="5">
        <f>pmsurya[[#This Row],[applications]]-pmsurya[[#This Row],[installations]]</f>
        <v>22167</v>
      </c>
      <c r="J432" s="6">
        <f>(pmsurya[[#This Row],[installations]]/pmsurya[[#This Row],[applications]])</f>
        <v>0.31369392241245858</v>
      </c>
    </row>
    <row r="433" spans="1:10" x14ac:dyDescent="0.3">
      <c r="A433" s="3" t="s">
        <v>8</v>
      </c>
      <c r="B433" t="str">
        <f>VLOOKUP(pmsurya[[#This Row],[state]],State!$A$2:$B$37,2,0)</f>
        <v xml:space="preserve"> Andhra Pradesh</v>
      </c>
      <c r="C433" t="s">
        <v>19</v>
      </c>
      <c r="D433" s="5">
        <v>31566</v>
      </c>
      <c r="E433" s="5">
        <v>5335</v>
      </c>
      <c r="F433" s="5">
        <v>5335</v>
      </c>
      <c r="G433" s="5">
        <v>17888</v>
      </c>
      <c r="H433" s="4">
        <v>351977460</v>
      </c>
      <c r="I433" s="5">
        <f>pmsurya[[#This Row],[applications]]-pmsurya[[#This Row],[installations]]</f>
        <v>26231</v>
      </c>
      <c r="J433" s="6">
        <f>(pmsurya[[#This Row],[installations]]/pmsurya[[#This Row],[applications]])</f>
        <v>0.16901096116074257</v>
      </c>
    </row>
    <row r="434" spans="1:10" x14ac:dyDescent="0.3">
      <c r="A434" s="3" t="s">
        <v>8</v>
      </c>
      <c r="B434" t="str">
        <f>VLOOKUP(pmsurya[[#This Row],[state]],State!$A$2:$B$37,2,0)</f>
        <v xml:space="preserve"> Andhra Pradesh</v>
      </c>
      <c r="C434" t="s">
        <v>20</v>
      </c>
      <c r="D434" s="5">
        <v>38606</v>
      </c>
      <c r="E434" s="5">
        <v>8711</v>
      </c>
      <c r="F434" s="5">
        <v>8925</v>
      </c>
      <c r="G434" s="5">
        <v>29834</v>
      </c>
      <c r="H434" s="4">
        <v>551287020</v>
      </c>
      <c r="I434" s="5">
        <f>pmsurya[[#This Row],[applications]]-pmsurya[[#This Row],[installations]]</f>
        <v>29895</v>
      </c>
      <c r="J434" s="6">
        <f>(pmsurya[[#This Row],[installations]]/pmsurya[[#This Row],[applications]])</f>
        <v>0.22563850178728695</v>
      </c>
    </row>
    <row r="435" spans="1:10" x14ac:dyDescent="0.3">
      <c r="A435" s="3" t="s">
        <v>8</v>
      </c>
      <c r="B435" t="str">
        <f>VLOOKUP(pmsurya[[#This Row],[state]],State!$A$2:$B$37,2,0)</f>
        <v xml:space="preserve"> Andhra Pradesh</v>
      </c>
      <c r="C435" t="s">
        <v>21</v>
      </c>
      <c r="D435" s="5">
        <v>31391</v>
      </c>
      <c r="E435" s="5">
        <v>4959</v>
      </c>
      <c r="F435" s="5">
        <v>5098</v>
      </c>
      <c r="G435" s="5">
        <v>15312</v>
      </c>
      <c r="H435" s="4">
        <v>239690550</v>
      </c>
      <c r="I435" s="5">
        <f>pmsurya[[#This Row],[applications]]-pmsurya[[#This Row],[installations]]</f>
        <v>26432</v>
      </c>
      <c r="J435" s="6">
        <f>(pmsurya[[#This Row],[installations]]/pmsurya[[#This Row],[applications]])</f>
        <v>0.15797521582619223</v>
      </c>
    </row>
    <row r="436" spans="1:10" x14ac:dyDescent="0.3">
      <c r="A436" s="3" t="s">
        <v>8</v>
      </c>
      <c r="B436" t="str">
        <f>VLOOKUP(pmsurya[[#This Row],[state]],State!$A$2:$B$37,2,0)</f>
        <v xml:space="preserve"> Andhra Pradesh</v>
      </c>
      <c r="C436" t="s">
        <v>22</v>
      </c>
      <c r="D436" s="5">
        <v>51452</v>
      </c>
      <c r="E436" s="5">
        <v>4582</v>
      </c>
      <c r="F436" s="5">
        <v>4582</v>
      </c>
      <c r="G436" s="5">
        <v>15038</v>
      </c>
      <c r="H436" s="4">
        <v>286702680</v>
      </c>
      <c r="I436" s="5">
        <f>pmsurya[[#This Row],[applications]]-pmsurya[[#This Row],[installations]]</f>
        <v>46870</v>
      </c>
      <c r="J436" s="6">
        <f>(pmsurya[[#This Row],[installations]]/pmsurya[[#This Row],[applications]])</f>
        <v>8.9053875456736376E-2</v>
      </c>
    </row>
    <row r="437" spans="1:10" x14ac:dyDescent="0.3">
      <c r="A437" s="3" t="s">
        <v>8</v>
      </c>
      <c r="B437" t="str">
        <f>VLOOKUP(pmsurya[[#This Row],[state]],State!$A$2:$B$37,2,0)</f>
        <v xml:space="preserve"> Andhra Pradesh</v>
      </c>
      <c r="C437" t="s">
        <v>23</v>
      </c>
      <c r="D437" s="5">
        <v>45144</v>
      </c>
      <c r="E437" s="5">
        <v>7504</v>
      </c>
      <c r="F437" s="5">
        <v>8230</v>
      </c>
      <c r="G437" s="5">
        <v>26656</v>
      </c>
      <c r="H437" s="4">
        <v>488288340</v>
      </c>
      <c r="I437" s="5">
        <f>pmsurya[[#This Row],[applications]]-pmsurya[[#This Row],[installations]]</f>
        <v>37640</v>
      </c>
      <c r="J437" s="6">
        <f>(pmsurya[[#This Row],[installations]]/pmsurya[[#This Row],[applications]])</f>
        <v>0.16622363990785044</v>
      </c>
    </row>
    <row r="438" spans="1:10" x14ac:dyDescent="0.3">
      <c r="A438" s="3" t="s">
        <v>8</v>
      </c>
      <c r="B438" t="str">
        <f>VLOOKUP(pmsurya[[#This Row],[state]],State!$A$2:$B$37,2,0)</f>
        <v xml:space="preserve"> Andhra Pradesh</v>
      </c>
      <c r="C438" t="s">
        <v>24</v>
      </c>
      <c r="D438" s="5">
        <v>126024</v>
      </c>
      <c r="E438" s="5">
        <v>7025</v>
      </c>
      <c r="F438" s="5">
        <v>7025</v>
      </c>
      <c r="G438" s="5">
        <v>22163</v>
      </c>
      <c r="H438" s="4">
        <v>354179790</v>
      </c>
      <c r="I438" s="5">
        <f>pmsurya[[#This Row],[applications]]-pmsurya[[#This Row],[installations]]</f>
        <v>118999</v>
      </c>
      <c r="J438" s="6">
        <f>(pmsurya[[#This Row],[installations]]/pmsurya[[#This Row],[applications]])</f>
        <v>5.5743350472925793E-2</v>
      </c>
    </row>
    <row r="439" spans="1:10" x14ac:dyDescent="0.3">
      <c r="A439" s="3" t="s">
        <v>8</v>
      </c>
      <c r="B439" t="str">
        <f>VLOOKUP(pmsurya[[#This Row],[state]],State!$A$2:$B$37,2,0)</f>
        <v xml:space="preserve"> Andhra Pradesh</v>
      </c>
      <c r="C439" t="s">
        <v>25</v>
      </c>
      <c r="D439" s="5">
        <v>18850</v>
      </c>
      <c r="E439" s="5">
        <v>2512</v>
      </c>
      <c r="F439" s="5">
        <v>2512</v>
      </c>
      <c r="G439" s="5">
        <v>8236</v>
      </c>
      <c r="H439" s="4">
        <v>160974870</v>
      </c>
      <c r="I439" s="5">
        <f>pmsurya[[#This Row],[applications]]-pmsurya[[#This Row],[installations]]</f>
        <v>16338</v>
      </c>
      <c r="J439" s="6">
        <f>(pmsurya[[#This Row],[installations]]/pmsurya[[#This Row],[applications]])</f>
        <v>0.13326259946949603</v>
      </c>
    </row>
    <row r="440" spans="1:10" x14ac:dyDescent="0.3">
      <c r="A440" s="3" t="s">
        <v>8</v>
      </c>
      <c r="B440" t="str">
        <f>VLOOKUP(pmsurya[[#This Row],[state]],State!$A$2:$B$37,2,0)</f>
        <v xml:space="preserve"> Andhra Pradesh</v>
      </c>
      <c r="C440" t="s">
        <v>26</v>
      </c>
      <c r="D440" s="5">
        <v>35670</v>
      </c>
      <c r="E440" s="5">
        <v>7791</v>
      </c>
      <c r="F440" s="5">
        <v>7848</v>
      </c>
      <c r="G440" s="5">
        <v>25482</v>
      </c>
      <c r="H440" s="4">
        <v>469991760</v>
      </c>
      <c r="I440" s="5">
        <f>pmsurya[[#This Row],[applications]]-pmsurya[[#This Row],[installations]]</f>
        <v>27879</v>
      </c>
      <c r="J440" s="6">
        <f>(pmsurya[[#This Row],[installations]]/pmsurya[[#This Row],[applications]])</f>
        <v>0.21841883936080739</v>
      </c>
    </row>
    <row r="441" spans="1:10" x14ac:dyDescent="0.3">
      <c r="A441" s="3" t="s">
        <v>8</v>
      </c>
      <c r="B441" t="str">
        <f>VLOOKUP(pmsurya[[#This Row],[state]],State!$A$2:$B$37,2,0)</f>
        <v xml:space="preserve"> Andhra Pradesh</v>
      </c>
      <c r="C441" t="s">
        <v>27</v>
      </c>
      <c r="D441" s="5">
        <v>29863</v>
      </c>
      <c r="E441" s="5">
        <v>8643</v>
      </c>
      <c r="F441" s="5">
        <v>8643</v>
      </c>
      <c r="G441" s="5">
        <v>28379</v>
      </c>
      <c r="H441" s="4">
        <v>538834260</v>
      </c>
      <c r="I441" s="5">
        <f>pmsurya[[#This Row],[applications]]-pmsurya[[#This Row],[installations]]</f>
        <v>21220</v>
      </c>
      <c r="J441" s="6">
        <f>(pmsurya[[#This Row],[installations]]/pmsurya[[#This Row],[applications]])</f>
        <v>0.28942169239527177</v>
      </c>
    </row>
    <row r="442" spans="1:10" x14ac:dyDescent="0.3">
      <c r="A442" s="3" t="s">
        <v>8</v>
      </c>
      <c r="B442" t="str">
        <f>VLOOKUP(pmsurya[[#This Row],[state]],State!$A$2:$B$37,2,0)</f>
        <v xml:space="preserve"> Andhra Pradesh</v>
      </c>
      <c r="C442" t="s">
        <v>28</v>
      </c>
      <c r="D442" s="5">
        <v>49832</v>
      </c>
      <c r="E442" s="5">
        <v>8616</v>
      </c>
      <c r="F442" s="5">
        <v>8616</v>
      </c>
      <c r="G442" s="5">
        <v>28005</v>
      </c>
      <c r="H442" s="4">
        <v>439073280</v>
      </c>
      <c r="I442" s="5">
        <f>pmsurya[[#This Row],[applications]]-pmsurya[[#This Row],[installations]]</f>
        <v>41216</v>
      </c>
      <c r="J442" s="6">
        <f>(pmsurya[[#This Row],[installations]]/pmsurya[[#This Row],[applications]])</f>
        <v>0.17290094718253332</v>
      </c>
    </row>
    <row r="443" spans="1:10" x14ac:dyDescent="0.3">
      <c r="A443" s="3" t="s">
        <v>8</v>
      </c>
      <c r="B443" t="str">
        <f>VLOOKUP(pmsurya[[#This Row],[state]],State!$A$2:$B$37,2,0)</f>
        <v xml:space="preserve"> Andhra Pradesh</v>
      </c>
      <c r="C443" t="s">
        <v>29</v>
      </c>
      <c r="D443" s="5">
        <v>18664</v>
      </c>
      <c r="E443" s="5">
        <v>2053</v>
      </c>
      <c r="F443" s="5">
        <v>2072</v>
      </c>
      <c r="G443" s="5">
        <v>6413</v>
      </c>
      <c r="H443" s="4">
        <v>96937230</v>
      </c>
      <c r="I443" s="5">
        <f>pmsurya[[#This Row],[applications]]-pmsurya[[#This Row],[installations]]</f>
        <v>16611</v>
      </c>
      <c r="J443" s="6">
        <f>(pmsurya[[#This Row],[installations]]/pmsurya[[#This Row],[applications]])</f>
        <v>0.10999785683669096</v>
      </c>
    </row>
    <row r="444" spans="1:10" x14ac:dyDescent="0.3">
      <c r="A444" s="3" t="s">
        <v>8</v>
      </c>
      <c r="B444" t="str">
        <f>VLOOKUP(pmsurya[[#This Row],[state]],State!$A$2:$B$37,2,0)</f>
        <v xml:space="preserve"> Andhra Pradesh</v>
      </c>
      <c r="C444" t="s">
        <v>30</v>
      </c>
      <c r="D444" s="5">
        <v>52228</v>
      </c>
      <c r="E444" s="5">
        <v>6547</v>
      </c>
      <c r="F444" s="5">
        <v>6561</v>
      </c>
      <c r="G444" s="5">
        <v>19928</v>
      </c>
      <c r="H444" s="4">
        <v>345287820</v>
      </c>
      <c r="I444" s="5">
        <f>pmsurya[[#This Row],[applications]]-pmsurya[[#This Row],[installations]]</f>
        <v>45681</v>
      </c>
      <c r="J444" s="6">
        <f>(pmsurya[[#This Row],[installations]]/pmsurya[[#This Row],[applications]])</f>
        <v>0.1253542161292793</v>
      </c>
    </row>
    <row r="445" spans="1:10" x14ac:dyDescent="0.3">
      <c r="A445" s="3" t="s">
        <v>8</v>
      </c>
      <c r="B445" t="str">
        <f>VLOOKUP(pmsurya[[#This Row],[state]],State!$A$2:$B$37,2,0)</f>
        <v xml:space="preserve"> Andhra Pradesh</v>
      </c>
      <c r="C445" t="s">
        <v>31</v>
      </c>
      <c r="D445" s="5">
        <v>18139</v>
      </c>
      <c r="E445" s="5">
        <v>8762</v>
      </c>
      <c r="F445" s="5">
        <v>10468</v>
      </c>
      <c r="G445" s="5">
        <v>31643</v>
      </c>
      <c r="H445" s="4">
        <v>591989790</v>
      </c>
      <c r="I445" s="5">
        <f>pmsurya[[#This Row],[applications]]-pmsurya[[#This Row],[installations]]</f>
        <v>9377</v>
      </c>
      <c r="J445" s="6">
        <f>(pmsurya[[#This Row],[installations]]/pmsurya[[#This Row],[applications]])</f>
        <v>0.48304757704393847</v>
      </c>
    </row>
    <row r="446" spans="1:10" x14ac:dyDescent="0.3">
      <c r="A446" s="3" t="s">
        <v>8</v>
      </c>
      <c r="B446" t="str">
        <f>VLOOKUP(pmsurya[[#This Row],[state]],State!$A$2:$B$37,2,0)</f>
        <v xml:space="preserve"> Andhra Pradesh</v>
      </c>
      <c r="C446" t="s">
        <v>32</v>
      </c>
      <c r="D446" s="5">
        <v>28998</v>
      </c>
      <c r="E446" s="5">
        <v>8602</v>
      </c>
      <c r="F446" s="5">
        <v>8604</v>
      </c>
      <c r="G446" s="5">
        <v>28678</v>
      </c>
      <c r="H446" s="4">
        <v>555058680</v>
      </c>
      <c r="I446" s="5">
        <f>pmsurya[[#This Row],[applications]]-pmsurya[[#This Row],[installations]]</f>
        <v>20396</v>
      </c>
      <c r="J446" s="6">
        <f>(pmsurya[[#This Row],[installations]]/pmsurya[[#This Row],[applications]])</f>
        <v>0.29664114766535621</v>
      </c>
    </row>
    <row r="447" spans="1:10" x14ac:dyDescent="0.3">
      <c r="A447" s="3" t="s">
        <v>8</v>
      </c>
      <c r="B447" t="str">
        <f>VLOOKUP(pmsurya[[#This Row],[state]],State!$A$2:$B$37,2,0)</f>
        <v xml:space="preserve"> Andhra Pradesh</v>
      </c>
      <c r="C447" t="s">
        <v>33</v>
      </c>
      <c r="D447" s="5">
        <v>35583</v>
      </c>
      <c r="E447" s="5">
        <v>8732</v>
      </c>
      <c r="F447" s="5">
        <v>8756</v>
      </c>
      <c r="G447" s="5">
        <v>29367</v>
      </c>
      <c r="H447" s="4">
        <v>551294988</v>
      </c>
      <c r="I447" s="5">
        <f>pmsurya[[#This Row],[applications]]-pmsurya[[#This Row],[installations]]</f>
        <v>26851</v>
      </c>
      <c r="J447" s="6">
        <f>(pmsurya[[#This Row],[installations]]/pmsurya[[#This Row],[applications]])</f>
        <v>0.24539808335441082</v>
      </c>
    </row>
    <row r="448" spans="1:10" x14ac:dyDescent="0.3">
      <c r="A448" s="3" t="s">
        <v>8</v>
      </c>
      <c r="B448" t="str">
        <f>VLOOKUP(pmsurya[[#This Row],[state]],State!$A$2:$B$37,2,0)</f>
        <v xml:space="preserve"> Andhra Pradesh</v>
      </c>
      <c r="C448" t="s">
        <v>34</v>
      </c>
      <c r="D448" s="5">
        <v>32144</v>
      </c>
      <c r="E448" s="5">
        <v>4791</v>
      </c>
      <c r="F448" s="5">
        <v>4889</v>
      </c>
      <c r="G448" s="5">
        <v>15683</v>
      </c>
      <c r="H448" s="4">
        <v>237025440</v>
      </c>
      <c r="I448" s="5">
        <f>pmsurya[[#This Row],[applications]]-pmsurya[[#This Row],[installations]]</f>
        <v>27353</v>
      </c>
      <c r="J448" s="6">
        <f>(pmsurya[[#This Row],[installations]]/pmsurya[[#This Row],[applications]])</f>
        <v>0.14904803384768542</v>
      </c>
    </row>
    <row r="449" spans="1:10" x14ac:dyDescent="0.3">
      <c r="A449" s="3" t="s">
        <v>259</v>
      </c>
      <c r="B449" t="str">
        <f>VLOOKUP(pmsurya[[#This Row],[state]],State!$A$2:$B$37,2,0)</f>
        <v xml:space="preserve"> Karnataka</v>
      </c>
      <c r="C449" t="s">
        <v>260</v>
      </c>
      <c r="D449" s="5">
        <v>1188</v>
      </c>
      <c r="E449" s="5">
        <v>469</v>
      </c>
      <c r="F449" s="5">
        <v>469</v>
      </c>
      <c r="G449" s="5">
        <v>1689</v>
      </c>
      <c r="H449" s="4">
        <v>32957490</v>
      </c>
      <c r="I449" s="5">
        <f>pmsurya[[#This Row],[applications]]-pmsurya[[#This Row],[installations]]</f>
        <v>719</v>
      </c>
      <c r="J449" s="6">
        <f>(pmsurya[[#This Row],[installations]]/pmsurya[[#This Row],[applications]])</f>
        <v>0.39478114478114479</v>
      </c>
    </row>
    <row r="450" spans="1:10" x14ac:dyDescent="0.3">
      <c r="A450" s="3" t="s">
        <v>259</v>
      </c>
      <c r="B450" t="str">
        <f>VLOOKUP(pmsurya[[#This Row],[state]],State!$A$2:$B$37,2,0)</f>
        <v xml:space="preserve"> Karnataka</v>
      </c>
      <c r="C450" t="s">
        <v>261</v>
      </c>
      <c r="D450" s="5">
        <v>888</v>
      </c>
      <c r="E450" s="5">
        <v>259</v>
      </c>
      <c r="F450" s="5">
        <v>259</v>
      </c>
      <c r="G450" s="5">
        <v>1011</v>
      </c>
      <c r="H450" s="4">
        <v>18672840</v>
      </c>
      <c r="I450" s="5">
        <f>pmsurya[[#This Row],[applications]]-pmsurya[[#This Row],[installations]]</f>
        <v>629</v>
      </c>
      <c r="J450" s="6">
        <f>(pmsurya[[#This Row],[installations]]/pmsurya[[#This Row],[applications]])</f>
        <v>0.29166666666666669</v>
      </c>
    </row>
    <row r="451" spans="1:10" x14ac:dyDescent="0.3">
      <c r="A451" s="3" t="s">
        <v>259</v>
      </c>
      <c r="B451" t="str">
        <f>VLOOKUP(pmsurya[[#This Row],[state]],State!$A$2:$B$37,2,0)</f>
        <v xml:space="preserve"> Karnataka</v>
      </c>
      <c r="C451" t="s">
        <v>262</v>
      </c>
      <c r="D451" s="5">
        <v>2889</v>
      </c>
      <c r="E451" s="5">
        <v>1004</v>
      </c>
      <c r="F451" s="5">
        <v>1088</v>
      </c>
      <c r="G451" s="5">
        <v>3445</v>
      </c>
      <c r="H451" s="4">
        <v>68054910</v>
      </c>
      <c r="I451" s="5">
        <f>pmsurya[[#This Row],[applications]]-pmsurya[[#This Row],[installations]]</f>
        <v>1885</v>
      </c>
      <c r="J451" s="6">
        <f>(pmsurya[[#This Row],[installations]]/pmsurya[[#This Row],[applications]])</f>
        <v>0.3475250951886466</v>
      </c>
    </row>
    <row r="452" spans="1:10" x14ac:dyDescent="0.3">
      <c r="A452" s="3" t="s">
        <v>259</v>
      </c>
      <c r="B452" t="str">
        <f>VLOOKUP(pmsurya[[#This Row],[state]],State!$A$2:$B$37,2,0)</f>
        <v xml:space="preserve"> Karnataka</v>
      </c>
      <c r="C452" t="s">
        <v>263</v>
      </c>
      <c r="D452" s="5">
        <v>3877</v>
      </c>
      <c r="E452" s="5">
        <v>506</v>
      </c>
      <c r="F452" s="5">
        <v>506</v>
      </c>
      <c r="G452" s="5">
        <v>1924</v>
      </c>
      <c r="H452" s="4">
        <v>34849440</v>
      </c>
      <c r="I452" s="5">
        <f>pmsurya[[#This Row],[applications]]-pmsurya[[#This Row],[installations]]</f>
        <v>3371</v>
      </c>
      <c r="J452" s="6">
        <f>(pmsurya[[#This Row],[installations]]/pmsurya[[#This Row],[applications]])</f>
        <v>0.13051328346659788</v>
      </c>
    </row>
    <row r="453" spans="1:10" x14ac:dyDescent="0.3">
      <c r="A453" s="3" t="s">
        <v>259</v>
      </c>
      <c r="B453" t="str">
        <f>VLOOKUP(pmsurya[[#This Row],[state]],State!$A$2:$B$37,2,0)</f>
        <v xml:space="preserve"> Karnataka</v>
      </c>
      <c r="C453" t="s">
        <v>264</v>
      </c>
      <c r="D453" s="5">
        <v>17303</v>
      </c>
      <c r="E453" s="5">
        <v>7322</v>
      </c>
      <c r="F453" s="5">
        <v>16943</v>
      </c>
      <c r="G453" s="5">
        <v>33927</v>
      </c>
      <c r="H453" s="4">
        <v>581974986</v>
      </c>
      <c r="I453" s="5">
        <f>pmsurya[[#This Row],[applications]]-pmsurya[[#This Row],[installations]]</f>
        <v>9981</v>
      </c>
      <c r="J453" s="6">
        <f>(pmsurya[[#This Row],[installations]]/pmsurya[[#This Row],[applications]])</f>
        <v>0.4231636132462579</v>
      </c>
    </row>
    <row r="454" spans="1:10" x14ac:dyDescent="0.3">
      <c r="A454" s="3" t="s">
        <v>259</v>
      </c>
      <c r="B454" t="str">
        <f>VLOOKUP(pmsurya[[#This Row],[state]],State!$A$2:$B$37,2,0)</f>
        <v xml:space="preserve"> Karnataka</v>
      </c>
      <c r="C454" t="s">
        <v>265</v>
      </c>
      <c r="D454" s="5">
        <v>431</v>
      </c>
      <c r="E454" s="5">
        <v>98</v>
      </c>
      <c r="F454" s="5">
        <v>98</v>
      </c>
      <c r="G454" s="5">
        <v>367</v>
      </c>
      <c r="H454" s="4">
        <v>6696000</v>
      </c>
      <c r="I454" s="5">
        <f>pmsurya[[#This Row],[applications]]-pmsurya[[#This Row],[installations]]</f>
        <v>333</v>
      </c>
      <c r="J454" s="6">
        <f>(pmsurya[[#This Row],[installations]]/pmsurya[[#This Row],[applications]])</f>
        <v>0.22737819025522041</v>
      </c>
    </row>
    <row r="455" spans="1:10" x14ac:dyDescent="0.3">
      <c r="A455" s="3" t="s">
        <v>259</v>
      </c>
      <c r="B455" t="str">
        <f>VLOOKUP(pmsurya[[#This Row],[state]],State!$A$2:$B$37,2,0)</f>
        <v xml:space="preserve"> Karnataka</v>
      </c>
      <c r="C455" t="s">
        <v>266</v>
      </c>
      <c r="D455" s="5">
        <v>165</v>
      </c>
      <c r="E455" s="5">
        <v>71</v>
      </c>
      <c r="F455" s="5">
        <v>71</v>
      </c>
      <c r="G455" s="5">
        <v>239</v>
      </c>
      <c r="H455" s="4">
        <v>4846680</v>
      </c>
      <c r="I455" s="5">
        <f>pmsurya[[#This Row],[applications]]-pmsurya[[#This Row],[installations]]</f>
        <v>94</v>
      </c>
      <c r="J455" s="6">
        <f>(pmsurya[[#This Row],[installations]]/pmsurya[[#This Row],[applications]])</f>
        <v>0.4303030303030303</v>
      </c>
    </row>
    <row r="456" spans="1:10" x14ac:dyDescent="0.3">
      <c r="A456" s="3" t="s">
        <v>259</v>
      </c>
      <c r="B456" t="str">
        <f>VLOOKUP(pmsurya[[#This Row],[state]],State!$A$2:$B$37,2,0)</f>
        <v xml:space="preserve"> Karnataka</v>
      </c>
      <c r="C456" t="s">
        <v>267</v>
      </c>
      <c r="D456" s="5">
        <v>4041</v>
      </c>
      <c r="E456" s="5">
        <v>52</v>
      </c>
      <c r="F456" s="5">
        <v>52</v>
      </c>
      <c r="G456" s="5">
        <v>194</v>
      </c>
      <c r="H456" s="4">
        <v>2929470</v>
      </c>
      <c r="I456" s="5">
        <f>pmsurya[[#This Row],[applications]]-pmsurya[[#This Row],[installations]]</f>
        <v>3989</v>
      </c>
      <c r="J456" s="6">
        <f>(pmsurya[[#This Row],[installations]]/pmsurya[[#This Row],[applications]])</f>
        <v>1.2868101954961643E-2</v>
      </c>
    </row>
    <row r="457" spans="1:10" x14ac:dyDescent="0.3">
      <c r="A457" s="3" t="s">
        <v>259</v>
      </c>
      <c r="B457" t="str">
        <f>VLOOKUP(pmsurya[[#This Row],[state]],State!$A$2:$B$37,2,0)</f>
        <v xml:space="preserve"> Karnataka</v>
      </c>
      <c r="C457" t="s">
        <v>268</v>
      </c>
      <c r="D457" s="5">
        <v>1729</v>
      </c>
      <c r="E457" s="5">
        <v>186</v>
      </c>
      <c r="F457" s="5">
        <v>186</v>
      </c>
      <c r="G457" s="5">
        <v>661</v>
      </c>
      <c r="H457" s="4">
        <v>12838470</v>
      </c>
      <c r="I457" s="5">
        <f>pmsurya[[#This Row],[applications]]-pmsurya[[#This Row],[installations]]</f>
        <v>1543</v>
      </c>
      <c r="J457" s="6">
        <f>(pmsurya[[#This Row],[installations]]/pmsurya[[#This Row],[applications]])</f>
        <v>0.10757663389242336</v>
      </c>
    </row>
    <row r="458" spans="1:10" x14ac:dyDescent="0.3">
      <c r="A458" s="3" t="s">
        <v>259</v>
      </c>
      <c r="B458" t="str">
        <f>VLOOKUP(pmsurya[[#This Row],[state]],State!$A$2:$B$37,2,0)</f>
        <v xml:space="preserve"> Karnataka</v>
      </c>
      <c r="C458" t="s">
        <v>269</v>
      </c>
      <c r="D458" s="5">
        <v>2005</v>
      </c>
      <c r="E458" s="5">
        <v>161</v>
      </c>
      <c r="F458" s="5">
        <v>161</v>
      </c>
      <c r="G458" s="5">
        <v>529</v>
      </c>
      <c r="H458" s="4">
        <v>10056060</v>
      </c>
      <c r="I458" s="5">
        <f>pmsurya[[#This Row],[applications]]-pmsurya[[#This Row],[installations]]</f>
        <v>1844</v>
      </c>
      <c r="J458" s="6">
        <f>(pmsurya[[#This Row],[installations]]/pmsurya[[#This Row],[applications]])</f>
        <v>8.029925187032419E-2</v>
      </c>
    </row>
    <row r="459" spans="1:10" x14ac:dyDescent="0.3">
      <c r="A459" s="3" t="s">
        <v>259</v>
      </c>
      <c r="B459" t="str">
        <f>VLOOKUP(pmsurya[[#This Row],[state]],State!$A$2:$B$37,2,0)</f>
        <v xml:space="preserve"> Karnataka</v>
      </c>
      <c r="C459" t="s">
        <v>270</v>
      </c>
      <c r="D459" s="5">
        <v>3460</v>
      </c>
      <c r="E459" s="5">
        <v>2525</v>
      </c>
      <c r="F459" s="5">
        <v>2818</v>
      </c>
      <c r="G459" s="5">
        <v>9637</v>
      </c>
      <c r="H459" s="4">
        <v>181823358</v>
      </c>
      <c r="I459" s="5">
        <f>pmsurya[[#This Row],[applications]]-pmsurya[[#This Row],[installations]]</f>
        <v>935</v>
      </c>
      <c r="J459" s="6">
        <f>(pmsurya[[#This Row],[installations]]/pmsurya[[#This Row],[applications]])</f>
        <v>0.72976878612716767</v>
      </c>
    </row>
    <row r="460" spans="1:10" x14ac:dyDescent="0.3">
      <c r="A460" s="3" t="s">
        <v>259</v>
      </c>
      <c r="B460" t="str">
        <f>VLOOKUP(pmsurya[[#This Row],[state]],State!$A$2:$B$37,2,0)</f>
        <v xml:space="preserve"> Karnataka</v>
      </c>
      <c r="C460" t="s">
        <v>271</v>
      </c>
      <c r="D460" s="5">
        <v>3121</v>
      </c>
      <c r="E460" s="5">
        <v>312</v>
      </c>
      <c r="F460" s="5">
        <v>887</v>
      </c>
      <c r="G460" s="5">
        <v>1069</v>
      </c>
      <c r="H460" s="4">
        <v>18868290</v>
      </c>
      <c r="I460" s="5">
        <f>pmsurya[[#This Row],[applications]]-pmsurya[[#This Row],[installations]]</f>
        <v>2809</v>
      </c>
      <c r="J460" s="6">
        <f>(pmsurya[[#This Row],[installations]]/pmsurya[[#This Row],[applications]])</f>
        <v>9.9967958987504005E-2</v>
      </c>
    </row>
    <row r="461" spans="1:10" x14ac:dyDescent="0.3">
      <c r="A461" s="3" t="s">
        <v>259</v>
      </c>
      <c r="B461" t="str">
        <f>VLOOKUP(pmsurya[[#This Row],[state]],State!$A$2:$B$37,2,0)</f>
        <v xml:space="preserve"> Karnataka</v>
      </c>
      <c r="C461" t="s">
        <v>272</v>
      </c>
      <c r="D461" s="5">
        <v>1127</v>
      </c>
      <c r="E461" s="5">
        <v>714</v>
      </c>
      <c r="F461" s="5">
        <v>714</v>
      </c>
      <c r="G461" s="5">
        <v>2791</v>
      </c>
      <c r="H461" s="4">
        <v>49689330</v>
      </c>
      <c r="I461" s="5">
        <f>pmsurya[[#This Row],[applications]]-pmsurya[[#This Row],[installations]]</f>
        <v>413</v>
      </c>
      <c r="J461" s="6">
        <f>(pmsurya[[#This Row],[installations]]/pmsurya[[#This Row],[applications]])</f>
        <v>0.63354037267080743</v>
      </c>
    </row>
    <row r="462" spans="1:10" x14ac:dyDescent="0.3">
      <c r="A462" s="3" t="s">
        <v>259</v>
      </c>
      <c r="B462" t="str">
        <f>VLOOKUP(pmsurya[[#This Row],[state]],State!$A$2:$B$37,2,0)</f>
        <v xml:space="preserve"> Karnataka</v>
      </c>
      <c r="C462" t="s">
        <v>273</v>
      </c>
      <c r="D462" s="5">
        <v>304</v>
      </c>
      <c r="E462" s="5">
        <v>138</v>
      </c>
      <c r="F462" s="5">
        <v>138</v>
      </c>
      <c r="G462" s="5">
        <v>473</v>
      </c>
      <c r="H462" s="4">
        <v>9722400</v>
      </c>
      <c r="I462" s="5">
        <f>pmsurya[[#This Row],[applications]]-pmsurya[[#This Row],[installations]]</f>
        <v>166</v>
      </c>
      <c r="J462" s="6">
        <f>(pmsurya[[#This Row],[installations]]/pmsurya[[#This Row],[applications]])</f>
        <v>0.45394736842105265</v>
      </c>
    </row>
    <row r="463" spans="1:10" x14ac:dyDescent="0.3">
      <c r="A463" s="3" t="s">
        <v>259</v>
      </c>
      <c r="B463" t="str">
        <f>VLOOKUP(pmsurya[[#This Row],[state]],State!$A$2:$B$37,2,0)</f>
        <v xml:space="preserve"> Karnataka</v>
      </c>
      <c r="C463" t="s">
        <v>274</v>
      </c>
      <c r="D463" s="5">
        <v>949</v>
      </c>
      <c r="E463" s="5">
        <v>229</v>
      </c>
      <c r="F463" s="5">
        <v>229</v>
      </c>
      <c r="G463" s="5">
        <v>807</v>
      </c>
      <c r="H463" s="4">
        <v>15090570</v>
      </c>
      <c r="I463" s="5">
        <f>pmsurya[[#This Row],[applications]]-pmsurya[[#This Row],[installations]]</f>
        <v>720</v>
      </c>
      <c r="J463" s="6">
        <f>(pmsurya[[#This Row],[installations]]/pmsurya[[#This Row],[applications]])</f>
        <v>0.24130663856691253</v>
      </c>
    </row>
    <row r="464" spans="1:10" x14ac:dyDescent="0.3">
      <c r="A464" s="3" t="s">
        <v>259</v>
      </c>
      <c r="B464" t="str">
        <f>VLOOKUP(pmsurya[[#This Row],[state]],State!$A$2:$B$37,2,0)</f>
        <v xml:space="preserve"> Karnataka</v>
      </c>
      <c r="C464" t="s">
        <v>275</v>
      </c>
      <c r="D464" s="5">
        <v>601</v>
      </c>
      <c r="E464" s="5">
        <v>144</v>
      </c>
      <c r="F464" s="5">
        <v>144</v>
      </c>
      <c r="G464" s="5">
        <v>496</v>
      </c>
      <c r="H464" s="4">
        <v>9879870</v>
      </c>
      <c r="I464" s="5">
        <f>pmsurya[[#This Row],[applications]]-pmsurya[[#This Row],[installations]]</f>
        <v>457</v>
      </c>
      <c r="J464" s="6">
        <f>(pmsurya[[#This Row],[installations]]/pmsurya[[#This Row],[applications]])</f>
        <v>0.23960066555740434</v>
      </c>
    </row>
    <row r="465" spans="1:10" x14ac:dyDescent="0.3">
      <c r="A465" s="3" t="s">
        <v>259</v>
      </c>
      <c r="B465" t="str">
        <f>VLOOKUP(pmsurya[[#This Row],[state]],State!$A$2:$B$37,2,0)</f>
        <v xml:space="preserve"> Karnataka</v>
      </c>
      <c r="C465" t="s">
        <v>276</v>
      </c>
      <c r="D465" s="5">
        <v>717</v>
      </c>
      <c r="E465" s="5">
        <v>257</v>
      </c>
      <c r="F465" s="5">
        <v>257</v>
      </c>
      <c r="G465" s="5">
        <v>1034</v>
      </c>
      <c r="H465" s="4">
        <v>18676290</v>
      </c>
      <c r="I465" s="5">
        <f>pmsurya[[#This Row],[applications]]-pmsurya[[#This Row],[installations]]</f>
        <v>460</v>
      </c>
      <c r="J465" s="6">
        <f>(pmsurya[[#This Row],[installations]]/pmsurya[[#This Row],[applications]])</f>
        <v>0.35843793584379358</v>
      </c>
    </row>
    <row r="466" spans="1:10" x14ac:dyDescent="0.3">
      <c r="A466" s="3" t="s">
        <v>259</v>
      </c>
      <c r="B466" t="str">
        <f>VLOOKUP(pmsurya[[#This Row],[state]],State!$A$2:$B$37,2,0)</f>
        <v xml:space="preserve"> Karnataka</v>
      </c>
      <c r="C466" t="s">
        <v>277</v>
      </c>
      <c r="D466" s="5">
        <v>334</v>
      </c>
      <c r="E466" s="5">
        <v>191</v>
      </c>
      <c r="F466" s="5">
        <v>191</v>
      </c>
      <c r="G466" s="5">
        <v>715</v>
      </c>
      <c r="H466" s="4">
        <v>13039620</v>
      </c>
      <c r="I466" s="5">
        <f>pmsurya[[#This Row],[applications]]-pmsurya[[#This Row],[installations]]</f>
        <v>143</v>
      </c>
      <c r="J466" s="6">
        <f>(pmsurya[[#This Row],[installations]]/pmsurya[[#This Row],[applications]])</f>
        <v>0.57185628742514971</v>
      </c>
    </row>
    <row r="467" spans="1:10" x14ac:dyDescent="0.3">
      <c r="A467" s="3" t="s">
        <v>259</v>
      </c>
      <c r="B467" t="str">
        <f>VLOOKUP(pmsurya[[#This Row],[state]],State!$A$2:$B$37,2,0)</f>
        <v xml:space="preserve"> Karnataka</v>
      </c>
      <c r="C467" t="s">
        <v>278</v>
      </c>
      <c r="D467" s="5">
        <v>2536</v>
      </c>
      <c r="E467" s="5">
        <v>105</v>
      </c>
      <c r="F467" s="5">
        <v>105</v>
      </c>
      <c r="G467" s="5">
        <v>353</v>
      </c>
      <c r="H467" s="4">
        <v>6495330</v>
      </c>
      <c r="I467" s="5">
        <f>pmsurya[[#This Row],[applications]]-pmsurya[[#This Row],[installations]]</f>
        <v>2431</v>
      </c>
      <c r="J467" s="6">
        <f>(pmsurya[[#This Row],[installations]]/pmsurya[[#This Row],[applications]])</f>
        <v>4.140378548895899E-2</v>
      </c>
    </row>
    <row r="468" spans="1:10" x14ac:dyDescent="0.3">
      <c r="A468" s="3" t="s">
        <v>259</v>
      </c>
      <c r="B468" t="str">
        <f>VLOOKUP(pmsurya[[#This Row],[state]],State!$A$2:$B$37,2,0)</f>
        <v xml:space="preserve"> Karnataka</v>
      </c>
      <c r="C468" t="s">
        <v>279</v>
      </c>
      <c r="D468" s="5">
        <v>913</v>
      </c>
      <c r="E468" s="5">
        <v>128</v>
      </c>
      <c r="F468" s="5">
        <v>128</v>
      </c>
      <c r="G468" s="5">
        <v>482</v>
      </c>
      <c r="H468" s="4">
        <v>8559390</v>
      </c>
      <c r="I468" s="5">
        <f>pmsurya[[#This Row],[applications]]-pmsurya[[#This Row],[installations]]</f>
        <v>785</v>
      </c>
      <c r="J468" s="6">
        <f>(pmsurya[[#This Row],[installations]]/pmsurya[[#This Row],[applications]])</f>
        <v>0.14019715224534501</v>
      </c>
    </row>
    <row r="469" spans="1:10" x14ac:dyDescent="0.3">
      <c r="A469" s="3" t="s">
        <v>259</v>
      </c>
      <c r="B469" t="str">
        <f>VLOOKUP(pmsurya[[#This Row],[state]],State!$A$2:$B$37,2,0)</f>
        <v xml:space="preserve"> Karnataka</v>
      </c>
      <c r="C469" t="s">
        <v>280</v>
      </c>
      <c r="D469" s="5">
        <v>993</v>
      </c>
      <c r="E469" s="5">
        <v>184</v>
      </c>
      <c r="F469" s="5">
        <v>184</v>
      </c>
      <c r="G469" s="5">
        <v>633</v>
      </c>
      <c r="H469" s="4">
        <v>11512590</v>
      </c>
      <c r="I469" s="5">
        <f>pmsurya[[#This Row],[applications]]-pmsurya[[#This Row],[installations]]</f>
        <v>809</v>
      </c>
      <c r="J469" s="6">
        <f>(pmsurya[[#This Row],[installations]]/pmsurya[[#This Row],[applications]])</f>
        <v>0.18529707955689828</v>
      </c>
    </row>
    <row r="470" spans="1:10" x14ac:dyDescent="0.3">
      <c r="A470" s="3" t="s">
        <v>259</v>
      </c>
      <c r="B470" t="str">
        <f>VLOOKUP(pmsurya[[#This Row],[state]],State!$A$2:$B$37,2,0)</f>
        <v xml:space="preserve"> Karnataka</v>
      </c>
      <c r="C470" t="s">
        <v>281</v>
      </c>
      <c r="D470" s="5">
        <v>3793</v>
      </c>
      <c r="E470" s="5">
        <v>1641</v>
      </c>
      <c r="F470" s="5">
        <v>2093</v>
      </c>
      <c r="G470" s="5">
        <v>6074</v>
      </c>
      <c r="H470" s="4">
        <v>112595370</v>
      </c>
      <c r="I470" s="5">
        <f>pmsurya[[#This Row],[applications]]-pmsurya[[#This Row],[installations]]</f>
        <v>2152</v>
      </c>
      <c r="J470" s="6">
        <f>(pmsurya[[#This Row],[installations]]/pmsurya[[#This Row],[applications]])</f>
        <v>0.4326390719746902</v>
      </c>
    </row>
    <row r="471" spans="1:10" x14ac:dyDescent="0.3">
      <c r="A471" s="3" t="s">
        <v>259</v>
      </c>
      <c r="B471" t="str">
        <f>VLOOKUP(pmsurya[[#This Row],[state]],State!$A$2:$B$37,2,0)</f>
        <v xml:space="preserve"> Karnataka</v>
      </c>
      <c r="C471" t="s">
        <v>282</v>
      </c>
      <c r="D471" s="5">
        <v>741</v>
      </c>
      <c r="E471" s="5">
        <v>225</v>
      </c>
      <c r="F471" s="5">
        <v>225</v>
      </c>
      <c r="G471" s="5">
        <v>852</v>
      </c>
      <c r="H471" s="4">
        <v>14005470</v>
      </c>
      <c r="I471" s="5">
        <f>pmsurya[[#This Row],[applications]]-pmsurya[[#This Row],[installations]]</f>
        <v>516</v>
      </c>
      <c r="J471" s="6">
        <f>(pmsurya[[#This Row],[installations]]/pmsurya[[#This Row],[applications]])</f>
        <v>0.30364372469635625</v>
      </c>
    </row>
    <row r="472" spans="1:10" x14ac:dyDescent="0.3">
      <c r="A472" s="3" t="s">
        <v>259</v>
      </c>
      <c r="B472" t="str">
        <f>VLOOKUP(pmsurya[[#This Row],[state]],State!$A$2:$B$37,2,0)</f>
        <v xml:space="preserve"> Karnataka</v>
      </c>
      <c r="C472" t="s">
        <v>283</v>
      </c>
      <c r="D472" s="5">
        <v>635</v>
      </c>
      <c r="E472" s="5">
        <v>55</v>
      </c>
      <c r="F472" s="5">
        <v>55</v>
      </c>
      <c r="G472" s="5">
        <v>215</v>
      </c>
      <c r="H472" s="4">
        <v>3595980</v>
      </c>
      <c r="I472" s="5">
        <f>pmsurya[[#This Row],[applications]]-pmsurya[[#This Row],[installations]]</f>
        <v>580</v>
      </c>
      <c r="J472" s="6">
        <f>(pmsurya[[#This Row],[installations]]/pmsurya[[#This Row],[applications]])</f>
        <v>8.6614173228346455E-2</v>
      </c>
    </row>
    <row r="473" spans="1:10" x14ac:dyDescent="0.3">
      <c r="A473" s="3" t="s">
        <v>259</v>
      </c>
      <c r="B473" t="str">
        <f>VLOOKUP(pmsurya[[#This Row],[state]],State!$A$2:$B$37,2,0)</f>
        <v xml:space="preserve"> Karnataka</v>
      </c>
      <c r="C473" t="s">
        <v>284</v>
      </c>
      <c r="D473" s="5">
        <v>2088</v>
      </c>
      <c r="E473" s="5">
        <v>672</v>
      </c>
      <c r="F473" s="5">
        <v>760</v>
      </c>
      <c r="G473" s="5">
        <v>2672</v>
      </c>
      <c r="H473" s="4">
        <v>46957350</v>
      </c>
      <c r="I473" s="5">
        <f>pmsurya[[#This Row],[applications]]-pmsurya[[#This Row],[installations]]</f>
        <v>1416</v>
      </c>
      <c r="J473" s="6">
        <f>(pmsurya[[#This Row],[installations]]/pmsurya[[#This Row],[applications]])</f>
        <v>0.32183908045977011</v>
      </c>
    </row>
    <row r="474" spans="1:10" x14ac:dyDescent="0.3">
      <c r="A474" s="3" t="s">
        <v>259</v>
      </c>
      <c r="B474" t="str">
        <f>VLOOKUP(pmsurya[[#This Row],[state]],State!$A$2:$B$37,2,0)</f>
        <v xml:space="preserve"> Karnataka</v>
      </c>
      <c r="C474" t="s">
        <v>285</v>
      </c>
      <c r="D474" s="5">
        <v>1988</v>
      </c>
      <c r="E474" s="5">
        <v>322</v>
      </c>
      <c r="F474" s="5">
        <v>322</v>
      </c>
      <c r="G474" s="5">
        <v>1144</v>
      </c>
      <c r="H474" s="4">
        <v>21087090</v>
      </c>
      <c r="I474" s="5">
        <f>pmsurya[[#This Row],[applications]]-pmsurya[[#This Row],[installations]]</f>
        <v>1666</v>
      </c>
      <c r="J474" s="6">
        <f>(pmsurya[[#This Row],[installations]]/pmsurya[[#This Row],[applications]])</f>
        <v>0.1619718309859155</v>
      </c>
    </row>
    <row r="475" spans="1:10" x14ac:dyDescent="0.3">
      <c r="A475" s="3" t="s">
        <v>259</v>
      </c>
      <c r="B475" t="str">
        <f>VLOOKUP(pmsurya[[#This Row],[state]],State!$A$2:$B$37,2,0)</f>
        <v xml:space="preserve"> Karnataka</v>
      </c>
      <c r="C475" t="s">
        <v>286</v>
      </c>
      <c r="D475" s="5">
        <v>2128</v>
      </c>
      <c r="E475" s="5">
        <v>1557</v>
      </c>
      <c r="F475" s="5">
        <v>1557</v>
      </c>
      <c r="G475" s="5">
        <v>5770</v>
      </c>
      <c r="H475" s="4">
        <v>112334520</v>
      </c>
      <c r="I475" s="5">
        <f>pmsurya[[#This Row],[applications]]-pmsurya[[#This Row],[installations]]</f>
        <v>571</v>
      </c>
      <c r="J475" s="6">
        <f>(pmsurya[[#This Row],[installations]]/pmsurya[[#This Row],[applications]])</f>
        <v>0.73167293233082709</v>
      </c>
    </row>
    <row r="476" spans="1:10" x14ac:dyDescent="0.3">
      <c r="A476" s="3" t="s">
        <v>259</v>
      </c>
      <c r="B476" t="str">
        <f>VLOOKUP(pmsurya[[#This Row],[state]],State!$A$2:$B$37,2,0)</f>
        <v xml:space="preserve"> Karnataka</v>
      </c>
      <c r="C476" t="s">
        <v>287</v>
      </c>
      <c r="D476" s="5">
        <v>1053</v>
      </c>
      <c r="E476" s="5">
        <v>615</v>
      </c>
      <c r="F476" s="5">
        <v>615</v>
      </c>
      <c r="G476" s="5">
        <v>1990</v>
      </c>
      <c r="H476" s="4">
        <v>42688530</v>
      </c>
      <c r="I476" s="5">
        <f>pmsurya[[#This Row],[applications]]-pmsurya[[#This Row],[installations]]</f>
        <v>438</v>
      </c>
      <c r="J476" s="6">
        <f>(pmsurya[[#This Row],[installations]]/pmsurya[[#This Row],[applications]])</f>
        <v>0.58404558404558404</v>
      </c>
    </row>
    <row r="477" spans="1:10" x14ac:dyDescent="0.3">
      <c r="A477" s="3" t="s">
        <v>259</v>
      </c>
      <c r="B477" t="str">
        <f>VLOOKUP(pmsurya[[#This Row],[state]],State!$A$2:$B$37,2,0)</f>
        <v xml:space="preserve"> Karnataka</v>
      </c>
      <c r="C477" t="s">
        <v>288</v>
      </c>
      <c r="D477" s="5">
        <v>332</v>
      </c>
      <c r="E477" s="5">
        <v>150</v>
      </c>
      <c r="F477" s="5">
        <v>150</v>
      </c>
      <c r="G477" s="5">
        <v>554</v>
      </c>
      <c r="H477" s="4">
        <v>9409020</v>
      </c>
      <c r="I477" s="5">
        <f>pmsurya[[#This Row],[applications]]-pmsurya[[#This Row],[installations]]</f>
        <v>182</v>
      </c>
      <c r="J477" s="6">
        <f>(pmsurya[[#This Row],[installations]]/pmsurya[[#This Row],[applications]])</f>
        <v>0.45180722891566266</v>
      </c>
    </row>
    <row r="478" spans="1:10" x14ac:dyDescent="0.3">
      <c r="A478" s="3" t="s">
        <v>259</v>
      </c>
      <c r="B478" t="str">
        <f>VLOOKUP(pmsurya[[#This Row],[state]],State!$A$2:$B$37,2,0)</f>
        <v xml:space="preserve"> Karnataka</v>
      </c>
      <c r="C478" t="s">
        <v>289</v>
      </c>
      <c r="D478" s="5">
        <v>908</v>
      </c>
      <c r="E478" s="5">
        <v>267</v>
      </c>
      <c r="F478" s="5">
        <v>267</v>
      </c>
      <c r="G478" s="5">
        <v>1026</v>
      </c>
      <c r="H478" s="4">
        <v>18858450</v>
      </c>
      <c r="I478" s="5">
        <f>pmsurya[[#This Row],[applications]]-pmsurya[[#This Row],[installations]]</f>
        <v>641</v>
      </c>
      <c r="J478" s="6">
        <f>(pmsurya[[#This Row],[installations]]/pmsurya[[#This Row],[applications]])</f>
        <v>0.29405286343612336</v>
      </c>
    </row>
    <row r="479" spans="1:10" x14ac:dyDescent="0.3">
      <c r="A479" s="3" t="s">
        <v>259</v>
      </c>
      <c r="B479" t="str">
        <f>VLOOKUP(pmsurya[[#This Row],[state]],State!$A$2:$B$37,2,0)</f>
        <v xml:space="preserve"> Karnataka</v>
      </c>
      <c r="C479" t="s">
        <v>290</v>
      </c>
      <c r="D479" s="5">
        <v>197</v>
      </c>
      <c r="E479" s="5">
        <v>21</v>
      </c>
      <c r="F479" s="5">
        <v>21</v>
      </c>
      <c r="G479" s="5">
        <v>82</v>
      </c>
      <c r="H479" s="4">
        <v>1539600</v>
      </c>
      <c r="I479" s="5">
        <f>pmsurya[[#This Row],[applications]]-pmsurya[[#This Row],[installations]]</f>
        <v>176</v>
      </c>
      <c r="J479" s="6">
        <f>(pmsurya[[#This Row],[installations]]/pmsurya[[#This Row],[applications]])</f>
        <v>0.1065989847715736</v>
      </c>
    </row>
    <row r="480" spans="1:10" x14ac:dyDescent="0.3">
      <c r="A480" s="3" t="s">
        <v>484</v>
      </c>
      <c r="B480" t="str">
        <f>VLOOKUP(pmsurya[[#This Row],[state]],State!$A$2:$B$37,2,0)</f>
        <v xml:space="preserve"> Punjab</v>
      </c>
      <c r="C480" t="s">
        <v>485</v>
      </c>
      <c r="D480" s="5">
        <v>1632</v>
      </c>
      <c r="E480" s="5">
        <v>963</v>
      </c>
      <c r="F480" s="5">
        <v>963</v>
      </c>
      <c r="G480" s="5">
        <v>4510</v>
      </c>
      <c r="H480" s="4">
        <v>64133940</v>
      </c>
      <c r="I480" s="5">
        <f>pmsurya[[#This Row],[applications]]-pmsurya[[#This Row],[installations]]</f>
        <v>669</v>
      </c>
      <c r="J480" s="6">
        <f>(pmsurya[[#This Row],[installations]]/pmsurya[[#This Row],[applications]])</f>
        <v>0.59007352941176472</v>
      </c>
    </row>
    <row r="481" spans="1:10" x14ac:dyDescent="0.3">
      <c r="A481" s="3" t="s">
        <v>484</v>
      </c>
      <c r="B481" t="str">
        <f>VLOOKUP(pmsurya[[#This Row],[state]],State!$A$2:$B$37,2,0)</f>
        <v xml:space="preserve"> Punjab</v>
      </c>
      <c r="C481" t="s">
        <v>486</v>
      </c>
      <c r="D481" s="5">
        <v>1126</v>
      </c>
      <c r="E481" s="5">
        <v>899</v>
      </c>
      <c r="F481" s="5">
        <v>899</v>
      </c>
      <c r="G481" s="5">
        <v>4274</v>
      </c>
      <c r="H481" s="4">
        <v>63463200</v>
      </c>
      <c r="I481" s="5">
        <f>pmsurya[[#This Row],[applications]]-pmsurya[[#This Row],[installations]]</f>
        <v>227</v>
      </c>
      <c r="J481" s="6">
        <f>(pmsurya[[#This Row],[installations]]/pmsurya[[#This Row],[applications]])</f>
        <v>0.79840142095914746</v>
      </c>
    </row>
    <row r="482" spans="1:10" x14ac:dyDescent="0.3">
      <c r="A482" s="3" t="s">
        <v>484</v>
      </c>
      <c r="B482" t="str">
        <f>VLOOKUP(pmsurya[[#This Row],[state]],State!$A$2:$B$37,2,0)</f>
        <v xml:space="preserve"> Punjab</v>
      </c>
      <c r="C482" t="s">
        <v>487</v>
      </c>
      <c r="D482" s="5">
        <v>2441</v>
      </c>
      <c r="E482" s="5">
        <v>1605</v>
      </c>
      <c r="F482" s="5">
        <v>1605</v>
      </c>
      <c r="G482" s="5">
        <v>7301</v>
      </c>
      <c r="H482" s="4">
        <v>101399220</v>
      </c>
      <c r="I482" s="5">
        <f>pmsurya[[#This Row],[applications]]-pmsurya[[#This Row],[installations]]</f>
        <v>836</v>
      </c>
      <c r="J482" s="6">
        <f>(pmsurya[[#This Row],[installations]]/pmsurya[[#This Row],[applications]])</f>
        <v>0.6575174108971733</v>
      </c>
    </row>
    <row r="483" spans="1:10" x14ac:dyDescent="0.3">
      <c r="A483" s="3" t="s">
        <v>484</v>
      </c>
      <c r="B483" t="str">
        <f>VLOOKUP(pmsurya[[#This Row],[state]],State!$A$2:$B$37,2,0)</f>
        <v xml:space="preserve"> Punjab</v>
      </c>
      <c r="C483" t="s">
        <v>488</v>
      </c>
      <c r="D483" s="5">
        <v>782</v>
      </c>
      <c r="E483" s="5">
        <v>522</v>
      </c>
      <c r="F483" s="5">
        <v>522</v>
      </c>
      <c r="G483" s="5">
        <v>2442</v>
      </c>
      <c r="H483" s="4">
        <v>36027000</v>
      </c>
      <c r="I483" s="5">
        <f>pmsurya[[#This Row],[applications]]-pmsurya[[#This Row],[installations]]</f>
        <v>260</v>
      </c>
      <c r="J483" s="6">
        <f>(pmsurya[[#This Row],[installations]]/pmsurya[[#This Row],[applications]])</f>
        <v>0.6675191815856778</v>
      </c>
    </row>
    <row r="484" spans="1:10" x14ac:dyDescent="0.3">
      <c r="A484" s="3" t="s">
        <v>484</v>
      </c>
      <c r="B484" t="str">
        <f>VLOOKUP(pmsurya[[#This Row],[state]],State!$A$2:$B$37,2,0)</f>
        <v xml:space="preserve"> Punjab</v>
      </c>
      <c r="C484" t="s">
        <v>489</v>
      </c>
      <c r="D484" s="5">
        <v>389</v>
      </c>
      <c r="E484" s="5">
        <v>189</v>
      </c>
      <c r="F484" s="5">
        <v>243</v>
      </c>
      <c r="G484" s="5">
        <v>826</v>
      </c>
      <c r="H484" s="4">
        <v>12585060</v>
      </c>
      <c r="I484" s="5">
        <f>pmsurya[[#This Row],[applications]]-pmsurya[[#This Row],[installations]]</f>
        <v>200</v>
      </c>
      <c r="J484" s="6">
        <f>(pmsurya[[#This Row],[installations]]/pmsurya[[#This Row],[applications]])</f>
        <v>0.48586118251928023</v>
      </c>
    </row>
    <row r="485" spans="1:10" x14ac:dyDescent="0.3">
      <c r="A485" s="3" t="s">
        <v>484</v>
      </c>
      <c r="B485" t="str">
        <f>VLOOKUP(pmsurya[[#This Row],[state]],State!$A$2:$B$37,2,0)</f>
        <v xml:space="preserve"> Punjab</v>
      </c>
      <c r="C485" t="s">
        <v>490</v>
      </c>
      <c r="D485" s="5">
        <v>1424</v>
      </c>
      <c r="E485" s="5">
        <v>647</v>
      </c>
      <c r="F485" s="5">
        <v>647</v>
      </c>
      <c r="G485" s="5">
        <v>2484</v>
      </c>
      <c r="H485" s="4">
        <v>37652190</v>
      </c>
      <c r="I485" s="5">
        <f>pmsurya[[#This Row],[applications]]-pmsurya[[#This Row],[installations]]</f>
        <v>777</v>
      </c>
      <c r="J485" s="6">
        <f>(pmsurya[[#This Row],[installations]]/pmsurya[[#This Row],[applications]])</f>
        <v>0.45435393258426965</v>
      </c>
    </row>
    <row r="486" spans="1:10" x14ac:dyDescent="0.3">
      <c r="A486" s="3" t="s">
        <v>484</v>
      </c>
      <c r="B486" t="str">
        <f>VLOOKUP(pmsurya[[#This Row],[state]],State!$A$2:$B$37,2,0)</f>
        <v xml:space="preserve"> Punjab</v>
      </c>
      <c r="C486" t="s">
        <v>491</v>
      </c>
      <c r="D486" s="5">
        <v>516</v>
      </c>
      <c r="E486" s="5">
        <v>240</v>
      </c>
      <c r="F486" s="5">
        <v>240</v>
      </c>
      <c r="G486" s="5">
        <v>1079</v>
      </c>
      <c r="H486" s="4">
        <v>15506700</v>
      </c>
      <c r="I486" s="5">
        <f>pmsurya[[#This Row],[applications]]-pmsurya[[#This Row],[installations]]</f>
        <v>276</v>
      </c>
      <c r="J486" s="6">
        <f>(pmsurya[[#This Row],[installations]]/pmsurya[[#This Row],[applications]])</f>
        <v>0.46511627906976744</v>
      </c>
    </row>
    <row r="487" spans="1:10" x14ac:dyDescent="0.3">
      <c r="A487" s="3" t="s">
        <v>484</v>
      </c>
      <c r="B487" t="str">
        <f>VLOOKUP(pmsurya[[#This Row],[state]],State!$A$2:$B$37,2,0)</f>
        <v xml:space="preserve"> Punjab</v>
      </c>
      <c r="C487" t="s">
        <v>492</v>
      </c>
      <c r="D487" s="5">
        <v>935</v>
      </c>
      <c r="E487" s="5">
        <v>529</v>
      </c>
      <c r="F487" s="5">
        <v>529</v>
      </c>
      <c r="G487" s="5">
        <v>2160</v>
      </c>
      <c r="H487" s="4">
        <v>35025300</v>
      </c>
      <c r="I487" s="5">
        <f>pmsurya[[#This Row],[applications]]-pmsurya[[#This Row],[installations]]</f>
        <v>406</v>
      </c>
      <c r="J487" s="6">
        <f>(pmsurya[[#This Row],[installations]]/pmsurya[[#This Row],[applications]])</f>
        <v>0.56577540106951874</v>
      </c>
    </row>
    <row r="488" spans="1:10" x14ac:dyDescent="0.3">
      <c r="A488" s="3" t="s">
        <v>484</v>
      </c>
      <c r="B488" t="str">
        <f>VLOOKUP(pmsurya[[#This Row],[state]],State!$A$2:$B$37,2,0)</f>
        <v xml:space="preserve"> Punjab</v>
      </c>
      <c r="C488" t="s">
        <v>493</v>
      </c>
      <c r="D488" s="5">
        <v>1392</v>
      </c>
      <c r="E488" s="5">
        <v>750</v>
      </c>
      <c r="F488" s="5">
        <v>750</v>
      </c>
      <c r="G488" s="5">
        <v>2732</v>
      </c>
      <c r="H488" s="4">
        <v>45113040</v>
      </c>
      <c r="I488" s="5">
        <f>pmsurya[[#This Row],[applications]]-pmsurya[[#This Row],[installations]]</f>
        <v>642</v>
      </c>
      <c r="J488" s="6">
        <f>(pmsurya[[#This Row],[installations]]/pmsurya[[#This Row],[applications]])</f>
        <v>0.53879310344827591</v>
      </c>
    </row>
    <row r="489" spans="1:10" x14ac:dyDescent="0.3">
      <c r="A489" s="3" t="s">
        <v>484</v>
      </c>
      <c r="B489" t="str">
        <f>VLOOKUP(pmsurya[[#This Row],[state]],State!$A$2:$B$37,2,0)</f>
        <v xml:space="preserve"> Punjab</v>
      </c>
      <c r="C489" t="s">
        <v>494</v>
      </c>
      <c r="D489" s="5">
        <v>1419</v>
      </c>
      <c r="E489" s="5">
        <v>690</v>
      </c>
      <c r="F489" s="5">
        <v>693</v>
      </c>
      <c r="G489" s="5">
        <v>3110</v>
      </c>
      <c r="H489" s="4">
        <v>46752240</v>
      </c>
      <c r="I489" s="5">
        <f>pmsurya[[#This Row],[applications]]-pmsurya[[#This Row],[installations]]</f>
        <v>729</v>
      </c>
      <c r="J489" s="6">
        <f>(pmsurya[[#This Row],[installations]]/pmsurya[[#This Row],[applications]])</f>
        <v>0.48625792811839325</v>
      </c>
    </row>
    <row r="490" spans="1:10" x14ac:dyDescent="0.3">
      <c r="A490" s="3" t="s">
        <v>484</v>
      </c>
      <c r="B490" t="str">
        <f>VLOOKUP(pmsurya[[#This Row],[state]],State!$A$2:$B$37,2,0)</f>
        <v xml:space="preserve"> Punjab</v>
      </c>
      <c r="C490" t="s">
        <v>495</v>
      </c>
      <c r="D490" s="5">
        <v>310</v>
      </c>
      <c r="E490" s="5">
        <v>120</v>
      </c>
      <c r="F490" s="5">
        <v>120</v>
      </c>
      <c r="G490" s="5">
        <v>537</v>
      </c>
      <c r="H490" s="4">
        <v>7926840</v>
      </c>
      <c r="I490" s="5">
        <f>pmsurya[[#This Row],[applications]]-pmsurya[[#This Row],[installations]]</f>
        <v>190</v>
      </c>
      <c r="J490" s="6">
        <f>(pmsurya[[#This Row],[installations]]/pmsurya[[#This Row],[applications]])</f>
        <v>0.38709677419354838</v>
      </c>
    </row>
    <row r="491" spans="1:10" x14ac:dyDescent="0.3">
      <c r="A491" s="3" t="s">
        <v>484</v>
      </c>
      <c r="B491" t="str">
        <f>VLOOKUP(pmsurya[[#This Row],[state]],State!$A$2:$B$37,2,0)</f>
        <v xml:space="preserve"> Punjab</v>
      </c>
      <c r="C491" t="s">
        <v>496</v>
      </c>
      <c r="D491" s="5">
        <v>2104</v>
      </c>
      <c r="E491" s="5">
        <v>993</v>
      </c>
      <c r="F491" s="5">
        <v>993</v>
      </c>
      <c r="G491" s="5">
        <v>4776</v>
      </c>
      <c r="H491" s="4">
        <v>64560300</v>
      </c>
      <c r="I491" s="5">
        <f>pmsurya[[#This Row],[applications]]-pmsurya[[#This Row],[installations]]</f>
        <v>1111</v>
      </c>
      <c r="J491" s="6">
        <f>(pmsurya[[#This Row],[installations]]/pmsurya[[#This Row],[applications]])</f>
        <v>0.47195817490494296</v>
      </c>
    </row>
    <row r="492" spans="1:10" x14ac:dyDescent="0.3">
      <c r="A492" s="3" t="s">
        <v>484</v>
      </c>
      <c r="B492" t="str">
        <f>VLOOKUP(pmsurya[[#This Row],[state]],State!$A$2:$B$37,2,0)</f>
        <v xml:space="preserve"> Punjab</v>
      </c>
      <c r="C492" t="s">
        <v>497</v>
      </c>
      <c r="D492" s="5">
        <v>304</v>
      </c>
      <c r="E492" s="5">
        <v>205</v>
      </c>
      <c r="F492" s="5">
        <v>205</v>
      </c>
      <c r="G492" s="5">
        <v>905</v>
      </c>
      <c r="H492" s="4">
        <v>14317260</v>
      </c>
      <c r="I492" s="5">
        <f>pmsurya[[#This Row],[applications]]-pmsurya[[#This Row],[installations]]</f>
        <v>99</v>
      </c>
      <c r="J492" s="6">
        <f>(pmsurya[[#This Row],[installations]]/pmsurya[[#This Row],[applications]])</f>
        <v>0.67434210526315785</v>
      </c>
    </row>
    <row r="493" spans="1:10" x14ac:dyDescent="0.3">
      <c r="A493" s="3" t="s">
        <v>484</v>
      </c>
      <c r="B493" t="str">
        <f>VLOOKUP(pmsurya[[#This Row],[state]],State!$A$2:$B$37,2,0)</f>
        <v xml:space="preserve"> Punjab</v>
      </c>
      <c r="C493" t="s">
        <v>498</v>
      </c>
      <c r="D493" s="5">
        <v>1320</v>
      </c>
      <c r="E493" s="5">
        <v>804</v>
      </c>
      <c r="F493" s="5">
        <v>804</v>
      </c>
      <c r="G493" s="5">
        <v>3246</v>
      </c>
      <c r="H493" s="4">
        <v>54276270</v>
      </c>
      <c r="I493" s="5">
        <f>pmsurya[[#This Row],[applications]]-pmsurya[[#This Row],[installations]]</f>
        <v>516</v>
      </c>
      <c r="J493" s="6">
        <f>(pmsurya[[#This Row],[installations]]/pmsurya[[#This Row],[applications]])</f>
        <v>0.60909090909090913</v>
      </c>
    </row>
    <row r="494" spans="1:10" x14ac:dyDescent="0.3">
      <c r="A494" s="3" t="s">
        <v>484</v>
      </c>
      <c r="B494" t="str">
        <f>VLOOKUP(pmsurya[[#This Row],[state]],State!$A$2:$B$37,2,0)</f>
        <v xml:space="preserve"> Punjab</v>
      </c>
      <c r="C494" t="s">
        <v>499</v>
      </c>
      <c r="D494" s="5">
        <v>769</v>
      </c>
      <c r="E494" s="5">
        <v>492</v>
      </c>
      <c r="F494" s="5">
        <v>492</v>
      </c>
      <c r="G494" s="5">
        <v>2567</v>
      </c>
      <c r="H494" s="4">
        <v>33875100</v>
      </c>
      <c r="I494" s="5">
        <f>pmsurya[[#This Row],[applications]]-pmsurya[[#This Row],[installations]]</f>
        <v>277</v>
      </c>
      <c r="J494" s="6">
        <f>(pmsurya[[#This Row],[installations]]/pmsurya[[#This Row],[applications]])</f>
        <v>0.63979193758127439</v>
      </c>
    </row>
    <row r="495" spans="1:10" x14ac:dyDescent="0.3">
      <c r="A495" s="3" t="s">
        <v>484</v>
      </c>
      <c r="B495" t="str">
        <f>VLOOKUP(pmsurya[[#This Row],[state]],State!$A$2:$B$37,2,0)</f>
        <v xml:space="preserve"> Punjab</v>
      </c>
      <c r="C495" t="s">
        <v>500</v>
      </c>
      <c r="D495" s="5">
        <v>474</v>
      </c>
      <c r="E495" s="5">
        <v>239</v>
      </c>
      <c r="F495" s="5">
        <v>239</v>
      </c>
      <c r="G495" s="5">
        <v>1194</v>
      </c>
      <c r="H495" s="4">
        <v>16364790</v>
      </c>
      <c r="I495" s="5">
        <f>pmsurya[[#This Row],[applications]]-pmsurya[[#This Row],[installations]]</f>
        <v>235</v>
      </c>
      <c r="J495" s="6">
        <f>(pmsurya[[#This Row],[installations]]/pmsurya[[#This Row],[applications]])</f>
        <v>0.50421940928270037</v>
      </c>
    </row>
    <row r="496" spans="1:10" x14ac:dyDescent="0.3">
      <c r="A496" s="3" t="s">
        <v>484</v>
      </c>
      <c r="B496" t="str">
        <f>VLOOKUP(pmsurya[[#This Row],[state]],State!$A$2:$B$37,2,0)</f>
        <v xml:space="preserve"> Punjab</v>
      </c>
      <c r="C496" t="s">
        <v>501</v>
      </c>
      <c r="D496" s="5">
        <v>2657</v>
      </c>
      <c r="E496" s="5">
        <v>1832</v>
      </c>
      <c r="F496" s="5">
        <v>1832</v>
      </c>
      <c r="G496" s="5">
        <v>7797</v>
      </c>
      <c r="H496" s="4">
        <v>120747870</v>
      </c>
      <c r="I496" s="5">
        <f>pmsurya[[#This Row],[applications]]-pmsurya[[#This Row],[installations]]</f>
        <v>825</v>
      </c>
      <c r="J496" s="6">
        <f>(pmsurya[[#This Row],[installations]]/pmsurya[[#This Row],[applications]])</f>
        <v>0.68949943545351899</v>
      </c>
    </row>
    <row r="497" spans="1:10" x14ac:dyDescent="0.3">
      <c r="A497" s="3" t="s">
        <v>484</v>
      </c>
      <c r="B497" t="str">
        <f>VLOOKUP(pmsurya[[#This Row],[state]],State!$A$2:$B$37,2,0)</f>
        <v xml:space="preserve"> Punjab</v>
      </c>
      <c r="C497" t="s">
        <v>502</v>
      </c>
      <c r="D497" s="5">
        <v>365</v>
      </c>
      <c r="E497" s="5">
        <v>174</v>
      </c>
      <c r="F497" s="5">
        <v>174</v>
      </c>
      <c r="G497" s="5">
        <v>709</v>
      </c>
      <c r="H497" s="4">
        <v>12057150</v>
      </c>
      <c r="I497" s="5">
        <f>pmsurya[[#This Row],[applications]]-pmsurya[[#This Row],[installations]]</f>
        <v>191</v>
      </c>
      <c r="J497" s="6">
        <f>(pmsurya[[#This Row],[installations]]/pmsurya[[#This Row],[applications]])</f>
        <v>0.47671232876712327</v>
      </c>
    </row>
    <row r="498" spans="1:10" x14ac:dyDescent="0.3">
      <c r="A498" s="3" t="s">
        <v>484</v>
      </c>
      <c r="B498" t="str">
        <f>VLOOKUP(pmsurya[[#This Row],[state]],State!$A$2:$B$37,2,0)</f>
        <v xml:space="preserve"> Punjab</v>
      </c>
      <c r="C498" t="s">
        <v>503</v>
      </c>
      <c r="D498" s="5">
        <v>1410</v>
      </c>
      <c r="E498" s="5">
        <v>998</v>
      </c>
      <c r="F498" s="5">
        <v>998</v>
      </c>
      <c r="G498" s="5">
        <v>4181</v>
      </c>
      <c r="H498" s="4">
        <v>66566430</v>
      </c>
      <c r="I498" s="5">
        <f>pmsurya[[#This Row],[applications]]-pmsurya[[#This Row],[installations]]</f>
        <v>412</v>
      </c>
      <c r="J498" s="6">
        <f>(pmsurya[[#This Row],[installations]]/pmsurya[[#This Row],[applications]])</f>
        <v>0.70780141843971633</v>
      </c>
    </row>
    <row r="499" spans="1:10" x14ac:dyDescent="0.3">
      <c r="A499" s="3" t="s">
        <v>484</v>
      </c>
      <c r="B499" t="str">
        <f>VLOOKUP(pmsurya[[#This Row],[state]],State!$A$2:$B$37,2,0)</f>
        <v xml:space="preserve"> Punjab</v>
      </c>
      <c r="C499" t="s">
        <v>504</v>
      </c>
      <c r="D499" s="5">
        <v>2598</v>
      </c>
      <c r="E499" s="5">
        <v>1465</v>
      </c>
      <c r="F499" s="5">
        <v>1576</v>
      </c>
      <c r="G499" s="5">
        <v>6623</v>
      </c>
      <c r="H499" s="4">
        <v>92898810</v>
      </c>
      <c r="I499" s="5">
        <f>pmsurya[[#This Row],[applications]]-pmsurya[[#This Row],[installations]]</f>
        <v>1133</v>
      </c>
      <c r="J499" s="6">
        <f>(pmsurya[[#This Row],[installations]]/pmsurya[[#This Row],[applications]])</f>
        <v>0.56389530408006161</v>
      </c>
    </row>
    <row r="500" spans="1:10" x14ac:dyDescent="0.3">
      <c r="A500" s="3" t="s">
        <v>484</v>
      </c>
      <c r="B500" t="str">
        <f>VLOOKUP(pmsurya[[#This Row],[state]],State!$A$2:$B$37,2,0)</f>
        <v xml:space="preserve"> Punjab</v>
      </c>
      <c r="C500" t="s">
        <v>505</v>
      </c>
      <c r="D500" s="5">
        <v>238</v>
      </c>
      <c r="E500" s="5">
        <v>114</v>
      </c>
      <c r="F500" s="5">
        <v>114</v>
      </c>
      <c r="G500" s="5">
        <v>493</v>
      </c>
      <c r="H500" s="4">
        <v>8244600</v>
      </c>
      <c r="I500" s="5">
        <f>pmsurya[[#This Row],[applications]]-pmsurya[[#This Row],[installations]]</f>
        <v>124</v>
      </c>
      <c r="J500" s="6">
        <f>(pmsurya[[#This Row],[installations]]/pmsurya[[#This Row],[applications]])</f>
        <v>0.47899159663865548</v>
      </c>
    </row>
    <row r="501" spans="1:10" x14ac:dyDescent="0.3">
      <c r="A501" s="3" t="s">
        <v>484</v>
      </c>
      <c r="B501" t="str">
        <f>VLOOKUP(pmsurya[[#This Row],[state]],State!$A$2:$B$37,2,0)</f>
        <v xml:space="preserve"> Punjab</v>
      </c>
      <c r="C501" t="s">
        <v>506</v>
      </c>
      <c r="D501" s="5">
        <v>1234</v>
      </c>
      <c r="E501" s="5">
        <v>630</v>
      </c>
      <c r="F501" s="5">
        <v>630</v>
      </c>
      <c r="G501" s="5">
        <v>2817</v>
      </c>
      <c r="H501" s="4">
        <v>38790510</v>
      </c>
      <c r="I501" s="5">
        <f>pmsurya[[#This Row],[applications]]-pmsurya[[#This Row],[installations]]</f>
        <v>604</v>
      </c>
      <c r="J501" s="6">
        <f>(pmsurya[[#This Row],[installations]]/pmsurya[[#This Row],[applications]])</f>
        <v>0.51053484602917343</v>
      </c>
    </row>
    <row r="502" spans="1:10" x14ac:dyDescent="0.3">
      <c r="A502" s="3" t="s">
        <v>484</v>
      </c>
      <c r="B502" t="str">
        <f>VLOOKUP(pmsurya[[#This Row],[state]],State!$A$2:$B$37,2,0)</f>
        <v xml:space="preserve"> Punjab</v>
      </c>
      <c r="C502" t="s">
        <v>507</v>
      </c>
      <c r="D502" s="5">
        <v>290</v>
      </c>
      <c r="E502" s="5">
        <v>135</v>
      </c>
      <c r="F502" s="5">
        <v>135</v>
      </c>
      <c r="G502" s="5">
        <v>566</v>
      </c>
      <c r="H502" s="4">
        <v>9464550</v>
      </c>
      <c r="I502" s="5">
        <f>pmsurya[[#This Row],[applications]]-pmsurya[[#This Row],[installations]]</f>
        <v>155</v>
      </c>
      <c r="J502" s="6">
        <f>(pmsurya[[#This Row],[installations]]/pmsurya[[#This Row],[applications]])</f>
        <v>0.46551724137931033</v>
      </c>
    </row>
    <row r="503" spans="1:10" x14ac:dyDescent="0.3">
      <c r="A503" s="3" t="s">
        <v>162</v>
      </c>
      <c r="B503" t="str">
        <f>VLOOKUP(pmsurya[[#This Row],[state]],State!$A$2:$B$37,2,0)</f>
        <v xml:space="preserve"> Goa</v>
      </c>
      <c r="C503" t="s">
        <v>163</v>
      </c>
      <c r="D503" s="5">
        <v>2262</v>
      </c>
      <c r="E503" s="5">
        <v>1429</v>
      </c>
      <c r="F503" s="5">
        <v>1762</v>
      </c>
      <c r="G503" s="5">
        <v>11176</v>
      </c>
      <c r="H503" s="4">
        <v>88137660</v>
      </c>
      <c r="I503" s="5">
        <f>pmsurya[[#This Row],[applications]]-pmsurya[[#This Row],[installations]]</f>
        <v>833</v>
      </c>
      <c r="J503" s="6">
        <f>(pmsurya[[#This Row],[installations]]/pmsurya[[#This Row],[applications]])</f>
        <v>0.63174182139699386</v>
      </c>
    </row>
    <row r="504" spans="1:10" x14ac:dyDescent="0.3">
      <c r="A504" s="3" t="s">
        <v>162</v>
      </c>
      <c r="B504" t="str">
        <f>VLOOKUP(pmsurya[[#This Row],[state]],State!$A$2:$B$37,2,0)</f>
        <v xml:space="preserve"> Goa</v>
      </c>
      <c r="C504" t="s">
        <v>164</v>
      </c>
      <c r="D504" s="5">
        <v>2282</v>
      </c>
      <c r="E504" s="5">
        <v>1584</v>
      </c>
      <c r="F504" s="5">
        <v>1897</v>
      </c>
      <c r="G504" s="5">
        <v>13600</v>
      </c>
      <c r="H504" s="4">
        <v>106436760</v>
      </c>
      <c r="I504" s="5">
        <f>pmsurya[[#This Row],[applications]]-pmsurya[[#This Row],[installations]]</f>
        <v>698</v>
      </c>
      <c r="J504" s="6">
        <f>(pmsurya[[#This Row],[installations]]/pmsurya[[#This Row],[applications]])</f>
        <v>0.69412795793163895</v>
      </c>
    </row>
    <row r="505" spans="1:10" x14ac:dyDescent="0.3">
      <c r="A505" s="3" t="s">
        <v>778</v>
      </c>
      <c r="B505" t="str">
        <f>VLOOKUP(pmsurya[[#This Row],[state]],State!$A$2:$B$37,2,0)</f>
        <v xml:space="preserve"> Lakshadweep</v>
      </c>
      <c r="C505" t="s">
        <v>779</v>
      </c>
      <c r="D505" s="5">
        <v>1324</v>
      </c>
      <c r="E505" s="5">
        <v>1113</v>
      </c>
      <c r="F505" s="5">
        <v>1113</v>
      </c>
      <c r="G505" s="5">
        <v>3725</v>
      </c>
      <c r="H505" s="4">
        <v>90090000</v>
      </c>
      <c r="I505" s="5">
        <f>pmsurya[[#This Row],[applications]]-pmsurya[[#This Row],[installations]]</f>
        <v>211</v>
      </c>
      <c r="J505" s="6">
        <f>(pmsurya[[#This Row],[installations]]/pmsurya[[#This Row],[applications]])</f>
        <v>0.84063444108761332</v>
      </c>
    </row>
    <row r="506" spans="1:10" x14ac:dyDescent="0.3">
      <c r="A506" s="3" t="s">
        <v>291</v>
      </c>
      <c r="B506" t="str">
        <f>VLOOKUP(pmsurya[[#This Row],[state]],State!$A$2:$B$37,2,0)</f>
        <v xml:space="preserve"> Kerala</v>
      </c>
      <c r="C506" t="s">
        <v>292</v>
      </c>
      <c r="D506" s="5">
        <v>33699</v>
      </c>
      <c r="E506" s="5">
        <v>22636</v>
      </c>
      <c r="F506" s="5">
        <v>22636</v>
      </c>
      <c r="G506" s="5">
        <v>85220</v>
      </c>
      <c r="H506" s="4">
        <v>1511247732</v>
      </c>
      <c r="I506" s="5">
        <f>pmsurya[[#This Row],[applications]]-pmsurya[[#This Row],[installations]]</f>
        <v>11063</v>
      </c>
      <c r="J506" s="6">
        <f>(pmsurya[[#This Row],[installations]]/pmsurya[[#This Row],[applications]])</f>
        <v>0.67171132674560075</v>
      </c>
    </row>
    <row r="507" spans="1:10" x14ac:dyDescent="0.3">
      <c r="A507" s="3" t="s">
        <v>291</v>
      </c>
      <c r="B507" t="str">
        <f>VLOOKUP(pmsurya[[#This Row],[state]],State!$A$2:$B$37,2,0)</f>
        <v xml:space="preserve"> Kerala</v>
      </c>
      <c r="C507" t="s">
        <v>293</v>
      </c>
      <c r="D507" s="5">
        <v>64858</v>
      </c>
      <c r="E507" s="5">
        <v>44952</v>
      </c>
      <c r="F507" s="5">
        <v>47114</v>
      </c>
      <c r="G507" s="5">
        <v>178550</v>
      </c>
      <c r="H507" s="4">
        <v>3018731820</v>
      </c>
      <c r="I507" s="5">
        <f>pmsurya[[#This Row],[applications]]-pmsurya[[#This Row],[installations]]</f>
        <v>19906</v>
      </c>
      <c r="J507" s="6">
        <f>(pmsurya[[#This Row],[installations]]/pmsurya[[#This Row],[applications]])</f>
        <v>0.69308335132134813</v>
      </c>
    </row>
    <row r="508" spans="1:10" x14ac:dyDescent="0.3">
      <c r="A508" s="3" t="s">
        <v>291</v>
      </c>
      <c r="B508" t="str">
        <f>VLOOKUP(pmsurya[[#This Row],[state]],State!$A$2:$B$37,2,0)</f>
        <v xml:space="preserve"> Kerala</v>
      </c>
      <c r="C508" t="s">
        <v>294</v>
      </c>
      <c r="D508" s="5">
        <v>4632</v>
      </c>
      <c r="E508" s="5">
        <v>3029</v>
      </c>
      <c r="F508" s="5">
        <v>3029</v>
      </c>
      <c r="G508" s="5">
        <v>11560</v>
      </c>
      <c r="H508" s="4">
        <v>199011720</v>
      </c>
      <c r="I508" s="5">
        <f>pmsurya[[#This Row],[applications]]-pmsurya[[#This Row],[installations]]</f>
        <v>1603</v>
      </c>
      <c r="J508" s="6">
        <f>(pmsurya[[#This Row],[installations]]/pmsurya[[#This Row],[applications]])</f>
        <v>0.65392918825561308</v>
      </c>
    </row>
    <row r="509" spans="1:10" x14ac:dyDescent="0.3">
      <c r="A509" s="3" t="s">
        <v>291</v>
      </c>
      <c r="B509" t="str">
        <f>VLOOKUP(pmsurya[[#This Row],[state]],State!$A$2:$B$37,2,0)</f>
        <v xml:space="preserve"> Kerala</v>
      </c>
      <c r="C509" t="s">
        <v>295</v>
      </c>
      <c r="D509" s="5">
        <v>25971</v>
      </c>
      <c r="E509" s="5">
        <v>18444</v>
      </c>
      <c r="F509" s="5">
        <v>18645</v>
      </c>
      <c r="G509" s="5">
        <v>72137</v>
      </c>
      <c r="H509" s="4">
        <v>1236953010</v>
      </c>
      <c r="I509" s="5">
        <f>pmsurya[[#This Row],[applications]]-pmsurya[[#This Row],[installations]]</f>
        <v>7527</v>
      </c>
      <c r="J509" s="6">
        <f>(pmsurya[[#This Row],[installations]]/pmsurya[[#This Row],[applications]])</f>
        <v>0.71017673558969618</v>
      </c>
    </row>
    <row r="510" spans="1:10" x14ac:dyDescent="0.3">
      <c r="A510" s="3" t="s">
        <v>291</v>
      </c>
      <c r="B510" t="str">
        <f>VLOOKUP(pmsurya[[#This Row],[state]],State!$A$2:$B$37,2,0)</f>
        <v xml:space="preserve"> Kerala</v>
      </c>
      <c r="C510" t="s">
        <v>296</v>
      </c>
      <c r="D510" s="5">
        <v>11743</v>
      </c>
      <c r="E510" s="5">
        <v>8322</v>
      </c>
      <c r="F510" s="5">
        <v>8322</v>
      </c>
      <c r="G510" s="5">
        <v>32516</v>
      </c>
      <c r="H510" s="4">
        <v>557476320</v>
      </c>
      <c r="I510" s="5">
        <f>pmsurya[[#This Row],[applications]]-pmsurya[[#This Row],[installations]]</f>
        <v>3421</v>
      </c>
      <c r="J510" s="6">
        <f>(pmsurya[[#This Row],[installations]]/pmsurya[[#This Row],[applications]])</f>
        <v>0.70867751000596102</v>
      </c>
    </row>
    <row r="511" spans="1:10" x14ac:dyDescent="0.3">
      <c r="A511" s="3" t="s">
        <v>291</v>
      </c>
      <c r="B511" t="str">
        <f>VLOOKUP(pmsurya[[#This Row],[state]],State!$A$2:$B$37,2,0)</f>
        <v xml:space="preserve"> Kerala</v>
      </c>
      <c r="C511" t="s">
        <v>297</v>
      </c>
      <c r="D511" s="5">
        <v>34426</v>
      </c>
      <c r="E511" s="5">
        <v>23634</v>
      </c>
      <c r="F511" s="5">
        <v>23634</v>
      </c>
      <c r="G511" s="5">
        <v>91266</v>
      </c>
      <c r="H511" s="4">
        <v>1489804590</v>
      </c>
      <c r="I511" s="5">
        <f>pmsurya[[#This Row],[applications]]-pmsurya[[#This Row],[installations]]</f>
        <v>10792</v>
      </c>
      <c r="J511" s="6">
        <f>(pmsurya[[#This Row],[installations]]/pmsurya[[#This Row],[applications]])</f>
        <v>0.68651600534479751</v>
      </c>
    </row>
    <row r="512" spans="1:10" x14ac:dyDescent="0.3">
      <c r="A512" s="3" t="s">
        <v>291</v>
      </c>
      <c r="B512" t="str">
        <f>VLOOKUP(pmsurya[[#This Row],[state]],State!$A$2:$B$37,2,0)</f>
        <v xml:space="preserve"> Kerala</v>
      </c>
      <c r="C512" t="s">
        <v>298</v>
      </c>
      <c r="D512" s="5">
        <v>23390</v>
      </c>
      <c r="E512" s="5">
        <v>16354</v>
      </c>
      <c r="F512" s="5">
        <v>16531</v>
      </c>
      <c r="G512" s="5">
        <v>64717</v>
      </c>
      <c r="H512" s="4">
        <v>1070777190</v>
      </c>
      <c r="I512" s="5">
        <f>pmsurya[[#This Row],[applications]]-pmsurya[[#This Row],[installations]]</f>
        <v>7036</v>
      </c>
      <c r="J512" s="6">
        <f>(pmsurya[[#This Row],[installations]]/pmsurya[[#This Row],[applications]])</f>
        <v>0.69918768704574608</v>
      </c>
    </row>
    <row r="513" spans="1:10" x14ac:dyDescent="0.3">
      <c r="A513" s="3" t="s">
        <v>291</v>
      </c>
      <c r="B513" t="str">
        <f>VLOOKUP(pmsurya[[#This Row],[state]],State!$A$2:$B$37,2,0)</f>
        <v xml:space="preserve"> Kerala</v>
      </c>
      <c r="C513" t="s">
        <v>299</v>
      </c>
      <c r="D513" s="5">
        <v>26582</v>
      </c>
      <c r="E513" s="5">
        <v>18152</v>
      </c>
      <c r="F513" s="5">
        <v>18785</v>
      </c>
      <c r="G513" s="5">
        <v>71331</v>
      </c>
      <c r="H513" s="4">
        <v>1180908450</v>
      </c>
      <c r="I513" s="5">
        <f>pmsurya[[#This Row],[applications]]-pmsurya[[#This Row],[installations]]</f>
        <v>8430</v>
      </c>
      <c r="J513" s="6">
        <f>(pmsurya[[#This Row],[installations]]/pmsurya[[#This Row],[applications]])</f>
        <v>0.68286810623730343</v>
      </c>
    </row>
    <row r="514" spans="1:10" x14ac:dyDescent="0.3">
      <c r="A514" s="3" t="s">
        <v>291</v>
      </c>
      <c r="B514" t="str">
        <f>VLOOKUP(pmsurya[[#This Row],[state]],State!$A$2:$B$37,2,0)</f>
        <v xml:space="preserve"> Kerala</v>
      </c>
      <c r="C514" t="s">
        <v>300</v>
      </c>
      <c r="D514" s="5">
        <v>30596</v>
      </c>
      <c r="E514" s="5">
        <v>21664</v>
      </c>
      <c r="F514" s="5">
        <v>21776</v>
      </c>
      <c r="G514" s="5">
        <v>83548</v>
      </c>
      <c r="H514" s="4">
        <v>1406688216</v>
      </c>
      <c r="I514" s="5">
        <f>pmsurya[[#This Row],[applications]]-pmsurya[[#This Row],[installations]]</f>
        <v>8932</v>
      </c>
      <c r="J514" s="6">
        <f>(pmsurya[[#This Row],[installations]]/pmsurya[[#This Row],[applications]])</f>
        <v>0.70806641391031511</v>
      </c>
    </row>
    <row r="515" spans="1:10" x14ac:dyDescent="0.3">
      <c r="A515" s="3" t="s">
        <v>291</v>
      </c>
      <c r="B515" t="str">
        <f>VLOOKUP(pmsurya[[#This Row],[state]],State!$A$2:$B$37,2,0)</f>
        <v xml:space="preserve"> Kerala</v>
      </c>
      <c r="C515" t="s">
        <v>301</v>
      </c>
      <c r="D515" s="5">
        <v>22980</v>
      </c>
      <c r="E515" s="5">
        <v>16660</v>
      </c>
      <c r="F515" s="5">
        <v>16976</v>
      </c>
      <c r="G515" s="5">
        <v>62530</v>
      </c>
      <c r="H515" s="4">
        <v>1089952800</v>
      </c>
      <c r="I515" s="5">
        <f>pmsurya[[#This Row],[applications]]-pmsurya[[#This Row],[installations]]</f>
        <v>6320</v>
      </c>
      <c r="J515" s="6">
        <f>(pmsurya[[#This Row],[installations]]/pmsurya[[#This Row],[applications]])</f>
        <v>0.72497824194952132</v>
      </c>
    </row>
    <row r="516" spans="1:10" x14ac:dyDescent="0.3">
      <c r="A516" s="3" t="s">
        <v>291</v>
      </c>
      <c r="B516" t="str">
        <f>VLOOKUP(pmsurya[[#This Row],[state]],State!$A$2:$B$37,2,0)</f>
        <v xml:space="preserve"> Kerala</v>
      </c>
      <c r="C516" t="s">
        <v>302</v>
      </c>
      <c r="D516" s="5">
        <v>13220</v>
      </c>
      <c r="E516" s="5">
        <v>9726</v>
      </c>
      <c r="F516" s="5">
        <v>9872</v>
      </c>
      <c r="G516" s="5">
        <v>37752</v>
      </c>
      <c r="H516" s="4">
        <v>638532390</v>
      </c>
      <c r="I516" s="5">
        <f>pmsurya[[#This Row],[applications]]-pmsurya[[#This Row],[installations]]</f>
        <v>3494</v>
      </c>
      <c r="J516" s="6">
        <f>(pmsurya[[#This Row],[installations]]/pmsurya[[#This Row],[applications]])</f>
        <v>0.73570347957639937</v>
      </c>
    </row>
    <row r="517" spans="1:10" x14ac:dyDescent="0.3">
      <c r="A517" s="3" t="s">
        <v>291</v>
      </c>
      <c r="B517" t="str">
        <f>VLOOKUP(pmsurya[[#This Row],[state]],State!$A$2:$B$37,2,0)</f>
        <v xml:space="preserve"> Kerala</v>
      </c>
      <c r="C517" t="s">
        <v>303</v>
      </c>
      <c r="D517" s="5">
        <v>39637</v>
      </c>
      <c r="E517" s="5">
        <v>27655</v>
      </c>
      <c r="F517" s="5">
        <v>29742</v>
      </c>
      <c r="G517" s="5">
        <v>108475</v>
      </c>
      <c r="H517" s="4">
        <v>1807812840</v>
      </c>
      <c r="I517" s="5">
        <f>pmsurya[[#This Row],[applications]]-pmsurya[[#This Row],[installations]]</f>
        <v>11982</v>
      </c>
      <c r="J517" s="6">
        <f>(pmsurya[[#This Row],[installations]]/pmsurya[[#This Row],[applications]])</f>
        <v>0.69770668819537296</v>
      </c>
    </row>
    <row r="518" spans="1:10" x14ac:dyDescent="0.3">
      <c r="A518" s="3" t="s">
        <v>291</v>
      </c>
      <c r="B518" t="str">
        <f>VLOOKUP(pmsurya[[#This Row],[state]],State!$A$2:$B$37,2,0)</f>
        <v xml:space="preserve"> Kerala</v>
      </c>
      <c r="C518" t="s">
        <v>304</v>
      </c>
      <c r="D518" s="5">
        <v>45311</v>
      </c>
      <c r="E518" s="5">
        <v>33258</v>
      </c>
      <c r="F518" s="5">
        <v>33690</v>
      </c>
      <c r="G518" s="5">
        <v>127118</v>
      </c>
      <c r="H518" s="4">
        <v>2220538650</v>
      </c>
      <c r="I518" s="5">
        <f>pmsurya[[#This Row],[applications]]-pmsurya[[#This Row],[installations]]</f>
        <v>12053</v>
      </c>
      <c r="J518" s="6">
        <f>(pmsurya[[#This Row],[installations]]/pmsurya[[#This Row],[applications]])</f>
        <v>0.73399395290326852</v>
      </c>
    </row>
    <row r="519" spans="1:10" x14ac:dyDescent="0.3">
      <c r="A519" s="3" t="s">
        <v>291</v>
      </c>
      <c r="B519" t="str">
        <f>VLOOKUP(pmsurya[[#This Row],[state]],State!$A$2:$B$37,2,0)</f>
        <v xml:space="preserve"> Kerala</v>
      </c>
      <c r="C519" t="s">
        <v>305</v>
      </c>
      <c r="D519" s="5">
        <v>2463</v>
      </c>
      <c r="E519" s="5">
        <v>1543</v>
      </c>
      <c r="F519" s="5">
        <v>1543</v>
      </c>
      <c r="G519" s="5">
        <v>5797</v>
      </c>
      <c r="H519" s="4">
        <v>95830410</v>
      </c>
      <c r="I519" s="5">
        <f>pmsurya[[#This Row],[applications]]-pmsurya[[#This Row],[installations]]</f>
        <v>920</v>
      </c>
      <c r="J519" s="6">
        <f>(pmsurya[[#This Row],[installations]]/pmsurya[[#This Row],[applications]])</f>
        <v>0.62647178237921231</v>
      </c>
    </row>
    <row r="520" spans="1:10" x14ac:dyDescent="0.3">
      <c r="A520" s="3" t="s">
        <v>566</v>
      </c>
      <c r="B520" t="str">
        <f>VLOOKUP(pmsurya[[#This Row],[state]],State!$A$2:$B$37,2,0)</f>
        <v xml:space="preserve"> Tamil Nadu</v>
      </c>
      <c r="C520" t="s">
        <v>567</v>
      </c>
      <c r="D520" s="5">
        <v>257</v>
      </c>
      <c r="E520" s="5">
        <v>195</v>
      </c>
      <c r="F520" s="5">
        <v>209</v>
      </c>
      <c r="G520" s="5">
        <v>706</v>
      </c>
      <c r="H520" s="4">
        <v>13216770</v>
      </c>
      <c r="I520" s="5">
        <f>pmsurya[[#This Row],[applications]]-pmsurya[[#This Row],[installations]]</f>
        <v>62</v>
      </c>
      <c r="J520" s="6">
        <f>(pmsurya[[#This Row],[installations]]/pmsurya[[#This Row],[applications]])</f>
        <v>0.75875486381322954</v>
      </c>
    </row>
    <row r="521" spans="1:10" x14ac:dyDescent="0.3">
      <c r="A521" s="3" t="s">
        <v>566</v>
      </c>
      <c r="B521" t="str">
        <f>VLOOKUP(pmsurya[[#This Row],[state]],State!$A$2:$B$37,2,0)</f>
        <v xml:space="preserve"> Tamil Nadu</v>
      </c>
      <c r="C521" t="s">
        <v>568</v>
      </c>
      <c r="D521" s="5">
        <v>7182</v>
      </c>
      <c r="E521" s="5">
        <v>5778</v>
      </c>
      <c r="F521" s="5">
        <v>9445</v>
      </c>
      <c r="G521" s="5">
        <v>21819</v>
      </c>
      <c r="H521" s="4">
        <v>390841110</v>
      </c>
      <c r="I521" s="5">
        <f>pmsurya[[#This Row],[applications]]-pmsurya[[#This Row],[installations]]</f>
        <v>1404</v>
      </c>
      <c r="J521" s="6">
        <f>(pmsurya[[#This Row],[installations]]/pmsurya[[#This Row],[applications]])</f>
        <v>0.80451127819548873</v>
      </c>
    </row>
    <row r="522" spans="1:10" x14ac:dyDescent="0.3">
      <c r="A522" s="3" t="s">
        <v>566</v>
      </c>
      <c r="B522" t="str">
        <f>VLOOKUP(pmsurya[[#This Row],[state]],State!$A$2:$B$37,2,0)</f>
        <v xml:space="preserve"> Tamil Nadu</v>
      </c>
      <c r="C522" t="s">
        <v>569</v>
      </c>
      <c r="D522" s="5">
        <v>10213</v>
      </c>
      <c r="E522" s="5">
        <v>8421</v>
      </c>
      <c r="F522" s="5">
        <v>11072</v>
      </c>
      <c r="G522" s="5">
        <v>32147</v>
      </c>
      <c r="H522" s="4">
        <v>556712022</v>
      </c>
      <c r="I522" s="5">
        <f>pmsurya[[#This Row],[applications]]-pmsurya[[#This Row],[installations]]</f>
        <v>1792</v>
      </c>
      <c r="J522" s="6">
        <f>(pmsurya[[#This Row],[installations]]/pmsurya[[#This Row],[applications]])</f>
        <v>0.82453735435229614</v>
      </c>
    </row>
    <row r="523" spans="1:10" x14ac:dyDescent="0.3">
      <c r="A523" s="3" t="s">
        <v>566</v>
      </c>
      <c r="B523" t="str">
        <f>VLOOKUP(pmsurya[[#This Row],[state]],State!$A$2:$B$37,2,0)</f>
        <v xml:space="preserve"> Tamil Nadu</v>
      </c>
      <c r="C523" t="s">
        <v>570</v>
      </c>
      <c r="D523" s="5">
        <v>11703</v>
      </c>
      <c r="E523" s="5">
        <v>9883</v>
      </c>
      <c r="F523" s="5">
        <v>14505</v>
      </c>
      <c r="G523" s="5">
        <v>35540</v>
      </c>
      <c r="H523" s="4">
        <v>679786590</v>
      </c>
      <c r="I523" s="5">
        <f>pmsurya[[#This Row],[applications]]-pmsurya[[#This Row],[installations]]</f>
        <v>1820</v>
      </c>
      <c r="J523" s="6">
        <f>(pmsurya[[#This Row],[installations]]/pmsurya[[#This Row],[applications]])</f>
        <v>0.8444843202597625</v>
      </c>
    </row>
    <row r="524" spans="1:10" x14ac:dyDescent="0.3">
      <c r="A524" s="3" t="s">
        <v>566</v>
      </c>
      <c r="B524" t="str">
        <f>VLOOKUP(pmsurya[[#This Row],[state]],State!$A$2:$B$37,2,0)</f>
        <v xml:space="preserve"> Tamil Nadu</v>
      </c>
      <c r="C524" t="s">
        <v>571</v>
      </c>
      <c r="D524" s="5">
        <v>2259</v>
      </c>
      <c r="E524" s="5">
        <v>1717</v>
      </c>
      <c r="F524" s="5">
        <v>1717</v>
      </c>
      <c r="G524" s="5">
        <v>5823</v>
      </c>
      <c r="H524" s="4">
        <v>116509590</v>
      </c>
      <c r="I524" s="5">
        <f>pmsurya[[#This Row],[applications]]-pmsurya[[#This Row],[installations]]</f>
        <v>542</v>
      </c>
      <c r="J524" s="6">
        <f>(pmsurya[[#This Row],[installations]]/pmsurya[[#This Row],[applications]])</f>
        <v>0.76007082779991142</v>
      </c>
    </row>
    <row r="525" spans="1:10" x14ac:dyDescent="0.3">
      <c r="A525" s="3" t="s">
        <v>566</v>
      </c>
      <c r="B525" t="str">
        <f>VLOOKUP(pmsurya[[#This Row],[state]],State!$A$2:$B$37,2,0)</f>
        <v xml:space="preserve"> Tamil Nadu</v>
      </c>
      <c r="C525" t="s">
        <v>572</v>
      </c>
      <c r="D525" s="5">
        <v>825</v>
      </c>
      <c r="E525" s="5">
        <v>607</v>
      </c>
      <c r="F525" s="5">
        <v>607</v>
      </c>
      <c r="G525" s="5">
        <v>2016</v>
      </c>
      <c r="H525" s="4">
        <v>42523350</v>
      </c>
      <c r="I525" s="5">
        <f>pmsurya[[#This Row],[applications]]-pmsurya[[#This Row],[installations]]</f>
        <v>218</v>
      </c>
      <c r="J525" s="6">
        <f>(pmsurya[[#This Row],[installations]]/pmsurya[[#This Row],[applications]])</f>
        <v>0.73575757575757572</v>
      </c>
    </row>
    <row r="526" spans="1:10" x14ac:dyDescent="0.3">
      <c r="A526" s="3" t="s">
        <v>566</v>
      </c>
      <c r="B526" t="str">
        <f>VLOOKUP(pmsurya[[#This Row],[state]],State!$A$2:$B$37,2,0)</f>
        <v xml:space="preserve"> Tamil Nadu</v>
      </c>
      <c r="C526" t="s">
        <v>573</v>
      </c>
      <c r="D526" s="5">
        <v>1442</v>
      </c>
      <c r="E526" s="5">
        <v>1120</v>
      </c>
      <c r="F526" s="5">
        <v>1120</v>
      </c>
      <c r="G526" s="5">
        <v>4024</v>
      </c>
      <c r="H526" s="4">
        <v>77220210</v>
      </c>
      <c r="I526" s="5">
        <f>pmsurya[[#This Row],[applications]]-pmsurya[[#This Row],[installations]]</f>
        <v>322</v>
      </c>
      <c r="J526" s="6">
        <f>(pmsurya[[#This Row],[installations]]/pmsurya[[#This Row],[applications]])</f>
        <v>0.77669902912621358</v>
      </c>
    </row>
    <row r="527" spans="1:10" x14ac:dyDescent="0.3">
      <c r="A527" s="3" t="s">
        <v>566</v>
      </c>
      <c r="B527" t="str">
        <f>VLOOKUP(pmsurya[[#This Row],[state]],State!$A$2:$B$37,2,0)</f>
        <v xml:space="preserve"> Tamil Nadu</v>
      </c>
      <c r="C527" t="s">
        <v>574</v>
      </c>
      <c r="D527" s="5">
        <v>4298</v>
      </c>
      <c r="E527" s="5">
        <v>3638</v>
      </c>
      <c r="F527" s="5">
        <v>3889</v>
      </c>
      <c r="G527" s="5">
        <v>12949</v>
      </c>
      <c r="H527" s="4">
        <v>255364740</v>
      </c>
      <c r="I527" s="5">
        <f>pmsurya[[#This Row],[applications]]-pmsurya[[#This Row],[installations]]</f>
        <v>660</v>
      </c>
      <c r="J527" s="6">
        <f>(pmsurya[[#This Row],[installations]]/pmsurya[[#This Row],[applications]])</f>
        <v>0.8464402047463937</v>
      </c>
    </row>
    <row r="528" spans="1:10" x14ac:dyDescent="0.3">
      <c r="A528" s="3" t="s">
        <v>566</v>
      </c>
      <c r="B528" t="str">
        <f>VLOOKUP(pmsurya[[#This Row],[state]],State!$A$2:$B$37,2,0)</f>
        <v xml:space="preserve"> Tamil Nadu</v>
      </c>
      <c r="C528" t="s">
        <v>575</v>
      </c>
      <c r="D528" s="5">
        <v>774</v>
      </c>
      <c r="E528" s="5">
        <v>553</v>
      </c>
      <c r="F528" s="5">
        <v>553</v>
      </c>
      <c r="G528" s="5">
        <v>1816</v>
      </c>
      <c r="H528" s="4">
        <v>36458820</v>
      </c>
      <c r="I528" s="5">
        <f>pmsurya[[#This Row],[applications]]-pmsurya[[#This Row],[installations]]</f>
        <v>221</v>
      </c>
      <c r="J528" s="6">
        <f>(pmsurya[[#This Row],[installations]]/pmsurya[[#This Row],[applications]])</f>
        <v>0.71447028423772607</v>
      </c>
    </row>
    <row r="529" spans="1:10" x14ac:dyDescent="0.3">
      <c r="A529" s="3" t="s">
        <v>566</v>
      </c>
      <c r="B529" t="str">
        <f>VLOOKUP(pmsurya[[#This Row],[state]],State!$A$2:$B$37,2,0)</f>
        <v xml:space="preserve"> Tamil Nadu</v>
      </c>
      <c r="C529" t="s">
        <v>576</v>
      </c>
      <c r="D529" s="5">
        <v>3284</v>
      </c>
      <c r="E529" s="5">
        <v>2653</v>
      </c>
      <c r="F529" s="5">
        <v>2766</v>
      </c>
      <c r="G529" s="5">
        <v>9509</v>
      </c>
      <c r="H529" s="4">
        <v>177808050</v>
      </c>
      <c r="I529" s="5">
        <f>pmsurya[[#This Row],[applications]]-pmsurya[[#This Row],[installations]]</f>
        <v>631</v>
      </c>
      <c r="J529" s="6">
        <f>(pmsurya[[#This Row],[installations]]/pmsurya[[#This Row],[applications]])</f>
        <v>0.80785627283800243</v>
      </c>
    </row>
    <row r="530" spans="1:10" x14ac:dyDescent="0.3">
      <c r="A530" s="3" t="s">
        <v>566</v>
      </c>
      <c r="B530" t="str">
        <f>VLOOKUP(pmsurya[[#This Row],[state]],State!$A$2:$B$37,2,0)</f>
        <v xml:space="preserve"> Tamil Nadu</v>
      </c>
      <c r="C530" t="s">
        <v>577</v>
      </c>
      <c r="D530" s="5">
        <v>2162</v>
      </c>
      <c r="E530" s="5">
        <v>1688</v>
      </c>
      <c r="F530" s="5">
        <v>1688</v>
      </c>
      <c r="G530" s="5">
        <v>6075</v>
      </c>
      <c r="H530" s="4">
        <v>112256400</v>
      </c>
      <c r="I530" s="5">
        <f>pmsurya[[#This Row],[applications]]-pmsurya[[#This Row],[installations]]</f>
        <v>474</v>
      </c>
      <c r="J530" s="6">
        <f>(pmsurya[[#This Row],[installations]]/pmsurya[[#This Row],[applications]])</f>
        <v>0.78075855689176688</v>
      </c>
    </row>
    <row r="531" spans="1:10" x14ac:dyDescent="0.3">
      <c r="A531" s="3" t="s">
        <v>566</v>
      </c>
      <c r="B531" t="str">
        <f>VLOOKUP(pmsurya[[#This Row],[state]],State!$A$2:$B$37,2,0)</f>
        <v xml:space="preserve"> Tamil Nadu</v>
      </c>
      <c r="C531" t="s">
        <v>578</v>
      </c>
      <c r="D531" s="5">
        <v>2304</v>
      </c>
      <c r="E531" s="5">
        <v>2038</v>
      </c>
      <c r="F531" s="5">
        <v>2131</v>
      </c>
      <c r="G531" s="5">
        <v>7082</v>
      </c>
      <c r="H531" s="4">
        <v>141541830</v>
      </c>
      <c r="I531" s="5">
        <f>pmsurya[[#This Row],[applications]]-pmsurya[[#This Row],[installations]]</f>
        <v>266</v>
      </c>
      <c r="J531" s="6">
        <f>(pmsurya[[#This Row],[installations]]/pmsurya[[#This Row],[applications]])</f>
        <v>0.88454861111111116</v>
      </c>
    </row>
    <row r="532" spans="1:10" x14ac:dyDescent="0.3">
      <c r="A532" s="3" t="s">
        <v>566</v>
      </c>
      <c r="B532" t="str">
        <f>VLOOKUP(pmsurya[[#This Row],[state]],State!$A$2:$B$37,2,0)</f>
        <v xml:space="preserve"> Tamil Nadu</v>
      </c>
      <c r="C532" t="s">
        <v>579</v>
      </c>
      <c r="D532" s="5">
        <v>1199</v>
      </c>
      <c r="E532" s="5">
        <v>848</v>
      </c>
      <c r="F532" s="5">
        <v>1141</v>
      </c>
      <c r="G532" s="5">
        <v>2951</v>
      </c>
      <c r="H532" s="4">
        <v>57960690</v>
      </c>
      <c r="I532" s="5">
        <f>pmsurya[[#This Row],[applications]]-pmsurya[[#This Row],[installations]]</f>
        <v>351</v>
      </c>
      <c r="J532" s="6">
        <f>(pmsurya[[#This Row],[installations]]/pmsurya[[#This Row],[applications]])</f>
        <v>0.70725604670558795</v>
      </c>
    </row>
    <row r="533" spans="1:10" x14ac:dyDescent="0.3">
      <c r="A533" s="3" t="s">
        <v>566</v>
      </c>
      <c r="B533" t="str">
        <f>VLOOKUP(pmsurya[[#This Row],[state]],State!$A$2:$B$37,2,0)</f>
        <v xml:space="preserve"> Tamil Nadu</v>
      </c>
      <c r="C533" t="s">
        <v>580</v>
      </c>
      <c r="D533" s="5">
        <v>3863</v>
      </c>
      <c r="E533" s="5">
        <v>3033</v>
      </c>
      <c r="F533" s="5">
        <v>3151</v>
      </c>
      <c r="G533" s="5">
        <v>10870</v>
      </c>
      <c r="H533" s="4">
        <v>199672980</v>
      </c>
      <c r="I533" s="5">
        <f>pmsurya[[#This Row],[applications]]-pmsurya[[#This Row],[installations]]</f>
        <v>830</v>
      </c>
      <c r="J533" s="6">
        <f>(pmsurya[[#This Row],[installations]]/pmsurya[[#This Row],[applications]])</f>
        <v>0.78514108206057465</v>
      </c>
    </row>
    <row r="534" spans="1:10" x14ac:dyDescent="0.3">
      <c r="A534" s="3" t="s">
        <v>566</v>
      </c>
      <c r="B534" t="str">
        <f>VLOOKUP(pmsurya[[#This Row],[state]],State!$A$2:$B$37,2,0)</f>
        <v xml:space="preserve"> Tamil Nadu</v>
      </c>
      <c r="C534" t="s">
        <v>581</v>
      </c>
      <c r="D534" s="5">
        <v>570</v>
      </c>
      <c r="E534" s="5">
        <v>419</v>
      </c>
      <c r="F534" s="5">
        <v>419</v>
      </c>
      <c r="G534" s="5">
        <v>1437</v>
      </c>
      <c r="H534" s="4">
        <v>27804000</v>
      </c>
      <c r="I534" s="5">
        <f>pmsurya[[#This Row],[applications]]-pmsurya[[#This Row],[installations]]</f>
        <v>151</v>
      </c>
      <c r="J534" s="6">
        <f>(pmsurya[[#This Row],[installations]]/pmsurya[[#This Row],[applications]])</f>
        <v>0.73508771929824557</v>
      </c>
    </row>
    <row r="535" spans="1:10" x14ac:dyDescent="0.3">
      <c r="A535" s="3" t="s">
        <v>566</v>
      </c>
      <c r="B535" t="str">
        <f>VLOOKUP(pmsurya[[#This Row],[state]],State!$A$2:$B$37,2,0)</f>
        <v xml:space="preserve"> Tamil Nadu</v>
      </c>
      <c r="C535" t="s">
        <v>582</v>
      </c>
      <c r="D535" s="5">
        <v>440</v>
      </c>
      <c r="E535" s="5">
        <v>308</v>
      </c>
      <c r="F535" s="5">
        <v>308</v>
      </c>
      <c r="G535" s="5">
        <v>1080</v>
      </c>
      <c r="H535" s="4">
        <v>19865280</v>
      </c>
      <c r="I535" s="5">
        <f>pmsurya[[#This Row],[applications]]-pmsurya[[#This Row],[installations]]</f>
        <v>132</v>
      </c>
      <c r="J535" s="6">
        <f>(pmsurya[[#This Row],[installations]]/pmsurya[[#This Row],[applications]])</f>
        <v>0.7</v>
      </c>
    </row>
    <row r="536" spans="1:10" x14ac:dyDescent="0.3">
      <c r="A536" s="3" t="s">
        <v>566</v>
      </c>
      <c r="B536" t="str">
        <f>VLOOKUP(pmsurya[[#This Row],[state]],State!$A$2:$B$37,2,0)</f>
        <v xml:space="preserve"> Tamil Nadu</v>
      </c>
      <c r="C536" t="s">
        <v>583</v>
      </c>
      <c r="D536" s="5">
        <v>4073</v>
      </c>
      <c r="E536" s="5">
        <v>3517</v>
      </c>
      <c r="F536" s="5">
        <v>3615</v>
      </c>
      <c r="G536" s="5">
        <v>12405</v>
      </c>
      <c r="H536" s="4">
        <v>245102520</v>
      </c>
      <c r="I536" s="5">
        <f>pmsurya[[#This Row],[applications]]-pmsurya[[#This Row],[installations]]</f>
        <v>556</v>
      </c>
      <c r="J536" s="6">
        <f>(pmsurya[[#This Row],[installations]]/pmsurya[[#This Row],[applications]])</f>
        <v>0.86349128406579911</v>
      </c>
    </row>
    <row r="537" spans="1:10" x14ac:dyDescent="0.3">
      <c r="A537" s="3" t="s">
        <v>566</v>
      </c>
      <c r="B537" t="str">
        <f>VLOOKUP(pmsurya[[#This Row],[state]],State!$A$2:$B$37,2,0)</f>
        <v xml:space="preserve"> Tamil Nadu</v>
      </c>
      <c r="C537" t="s">
        <v>584</v>
      </c>
      <c r="D537" s="5">
        <v>331</v>
      </c>
      <c r="E537" s="5">
        <v>261</v>
      </c>
      <c r="F537" s="5">
        <v>262</v>
      </c>
      <c r="G537" s="5">
        <v>895</v>
      </c>
      <c r="H537" s="4">
        <v>17436930</v>
      </c>
      <c r="I537" s="5">
        <f>pmsurya[[#This Row],[applications]]-pmsurya[[#This Row],[installations]]</f>
        <v>70</v>
      </c>
      <c r="J537" s="6">
        <f>(pmsurya[[#This Row],[installations]]/pmsurya[[#This Row],[applications]])</f>
        <v>0.78851963746223563</v>
      </c>
    </row>
    <row r="538" spans="1:10" x14ac:dyDescent="0.3">
      <c r="A538" s="3" t="s">
        <v>566</v>
      </c>
      <c r="B538" t="str">
        <f>VLOOKUP(pmsurya[[#This Row],[state]],State!$A$2:$B$37,2,0)</f>
        <v xml:space="preserve"> Tamil Nadu</v>
      </c>
      <c r="C538" t="s">
        <v>585</v>
      </c>
      <c r="D538" s="5">
        <v>724</v>
      </c>
      <c r="E538" s="5">
        <v>531</v>
      </c>
      <c r="F538" s="5">
        <v>578</v>
      </c>
      <c r="G538" s="5">
        <v>1835</v>
      </c>
      <c r="H538" s="4">
        <v>32648070</v>
      </c>
      <c r="I538" s="5">
        <f>pmsurya[[#This Row],[applications]]-pmsurya[[#This Row],[installations]]</f>
        <v>193</v>
      </c>
      <c r="J538" s="6">
        <f>(pmsurya[[#This Row],[installations]]/pmsurya[[#This Row],[applications]])</f>
        <v>0.73342541436464093</v>
      </c>
    </row>
    <row r="539" spans="1:10" x14ac:dyDescent="0.3">
      <c r="A539" s="3" t="s">
        <v>566</v>
      </c>
      <c r="B539" t="str">
        <f>VLOOKUP(pmsurya[[#This Row],[state]],State!$A$2:$B$37,2,0)</f>
        <v xml:space="preserve"> Tamil Nadu</v>
      </c>
      <c r="C539" t="s">
        <v>586</v>
      </c>
      <c r="D539" s="5">
        <v>691</v>
      </c>
      <c r="E539" s="5">
        <v>489</v>
      </c>
      <c r="F539" s="5">
        <v>489</v>
      </c>
      <c r="G539" s="5">
        <v>1762</v>
      </c>
      <c r="H539" s="4">
        <v>32386320</v>
      </c>
      <c r="I539" s="5">
        <f>pmsurya[[#This Row],[applications]]-pmsurya[[#This Row],[installations]]</f>
        <v>202</v>
      </c>
      <c r="J539" s="6">
        <f>(pmsurya[[#This Row],[installations]]/pmsurya[[#This Row],[applications]])</f>
        <v>0.70767004341534012</v>
      </c>
    </row>
    <row r="540" spans="1:10" x14ac:dyDescent="0.3">
      <c r="A540" s="3" t="s">
        <v>566</v>
      </c>
      <c r="B540" t="str">
        <f>VLOOKUP(pmsurya[[#This Row],[state]],State!$A$2:$B$37,2,0)</f>
        <v xml:space="preserve"> Tamil Nadu</v>
      </c>
      <c r="C540" t="s">
        <v>587</v>
      </c>
      <c r="D540" s="5">
        <v>869</v>
      </c>
      <c r="E540" s="5">
        <v>660</v>
      </c>
      <c r="F540" s="5">
        <v>660</v>
      </c>
      <c r="G540" s="5">
        <v>2286</v>
      </c>
      <c r="H540" s="4">
        <v>44453130</v>
      </c>
      <c r="I540" s="5">
        <f>pmsurya[[#This Row],[applications]]-pmsurya[[#This Row],[installations]]</f>
        <v>209</v>
      </c>
      <c r="J540" s="6">
        <f>(pmsurya[[#This Row],[installations]]/pmsurya[[#This Row],[applications]])</f>
        <v>0.759493670886076</v>
      </c>
    </row>
    <row r="541" spans="1:10" x14ac:dyDescent="0.3">
      <c r="A541" s="3" t="s">
        <v>566</v>
      </c>
      <c r="B541" t="str">
        <f>VLOOKUP(pmsurya[[#This Row],[state]],State!$A$2:$B$37,2,0)</f>
        <v xml:space="preserve"> Tamil Nadu</v>
      </c>
      <c r="C541" t="s">
        <v>588</v>
      </c>
      <c r="D541" s="5">
        <v>4364</v>
      </c>
      <c r="E541" s="5">
        <v>3634</v>
      </c>
      <c r="F541" s="5">
        <v>3782</v>
      </c>
      <c r="G541" s="5">
        <v>13006</v>
      </c>
      <c r="H541" s="4">
        <v>250404036</v>
      </c>
      <c r="I541" s="5">
        <f>pmsurya[[#This Row],[applications]]-pmsurya[[#This Row],[installations]]</f>
        <v>730</v>
      </c>
      <c r="J541" s="6">
        <f>(pmsurya[[#This Row],[installations]]/pmsurya[[#This Row],[applications]])</f>
        <v>0.83272227314390468</v>
      </c>
    </row>
    <row r="542" spans="1:10" x14ac:dyDescent="0.3">
      <c r="A542" s="3" t="s">
        <v>566</v>
      </c>
      <c r="B542" t="str">
        <f>VLOOKUP(pmsurya[[#This Row],[state]],State!$A$2:$B$37,2,0)</f>
        <v xml:space="preserve"> Tamil Nadu</v>
      </c>
      <c r="C542" t="s">
        <v>589</v>
      </c>
      <c r="D542" s="5">
        <v>977</v>
      </c>
      <c r="E542" s="5">
        <v>692</v>
      </c>
      <c r="F542" s="5">
        <v>692</v>
      </c>
      <c r="G542" s="5">
        <v>2489</v>
      </c>
      <c r="H542" s="4">
        <v>45612540</v>
      </c>
      <c r="I542" s="5">
        <f>pmsurya[[#This Row],[applications]]-pmsurya[[#This Row],[installations]]</f>
        <v>285</v>
      </c>
      <c r="J542" s="6">
        <f>(pmsurya[[#This Row],[installations]]/pmsurya[[#This Row],[applications]])</f>
        <v>0.70829068577277376</v>
      </c>
    </row>
    <row r="543" spans="1:10" x14ac:dyDescent="0.3">
      <c r="A543" s="3" t="s">
        <v>566</v>
      </c>
      <c r="B543" t="str">
        <f>VLOOKUP(pmsurya[[#This Row],[state]],State!$A$2:$B$37,2,0)</f>
        <v xml:space="preserve"> Tamil Nadu</v>
      </c>
      <c r="C543" t="s">
        <v>590</v>
      </c>
      <c r="D543" s="5">
        <v>910</v>
      </c>
      <c r="E543" s="5">
        <v>668</v>
      </c>
      <c r="F543" s="5">
        <v>668</v>
      </c>
      <c r="G543" s="5">
        <v>2141</v>
      </c>
      <c r="H543" s="4">
        <v>42422340</v>
      </c>
      <c r="I543" s="5">
        <f>pmsurya[[#This Row],[applications]]-pmsurya[[#This Row],[installations]]</f>
        <v>242</v>
      </c>
      <c r="J543" s="6">
        <f>(pmsurya[[#This Row],[installations]]/pmsurya[[#This Row],[applications]])</f>
        <v>0.73406593406593401</v>
      </c>
    </row>
    <row r="544" spans="1:10" x14ac:dyDescent="0.3">
      <c r="A544" s="3" t="s">
        <v>566</v>
      </c>
      <c r="B544" t="str">
        <f>VLOOKUP(pmsurya[[#This Row],[state]],State!$A$2:$B$37,2,0)</f>
        <v xml:space="preserve"> Tamil Nadu</v>
      </c>
      <c r="C544" t="s">
        <v>591</v>
      </c>
      <c r="D544" s="5">
        <v>2950</v>
      </c>
      <c r="E544" s="5">
        <v>2348</v>
      </c>
      <c r="F544" s="5">
        <v>2481</v>
      </c>
      <c r="G544" s="5">
        <v>8437</v>
      </c>
      <c r="H544" s="4">
        <v>157496670</v>
      </c>
      <c r="I544" s="5">
        <f>pmsurya[[#This Row],[applications]]-pmsurya[[#This Row],[installations]]</f>
        <v>602</v>
      </c>
      <c r="J544" s="6">
        <f>(pmsurya[[#This Row],[installations]]/pmsurya[[#This Row],[applications]])</f>
        <v>0.79593220338983051</v>
      </c>
    </row>
    <row r="545" spans="1:10" x14ac:dyDescent="0.3">
      <c r="A545" s="3" t="s">
        <v>566</v>
      </c>
      <c r="B545" t="str">
        <f>VLOOKUP(pmsurya[[#This Row],[state]],State!$A$2:$B$37,2,0)</f>
        <v xml:space="preserve"> Tamil Nadu</v>
      </c>
      <c r="C545" t="s">
        <v>592</v>
      </c>
      <c r="D545" s="5">
        <v>721</v>
      </c>
      <c r="E545" s="5">
        <v>568</v>
      </c>
      <c r="F545" s="5">
        <v>583</v>
      </c>
      <c r="G545" s="5">
        <v>1872</v>
      </c>
      <c r="H545" s="4">
        <v>37303620</v>
      </c>
      <c r="I545" s="5">
        <f>pmsurya[[#This Row],[applications]]-pmsurya[[#This Row],[installations]]</f>
        <v>153</v>
      </c>
      <c r="J545" s="6">
        <f>(pmsurya[[#This Row],[installations]]/pmsurya[[#This Row],[applications]])</f>
        <v>0.78779472954230234</v>
      </c>
    </row>
    <row r="546" spans="1:10" x14ac:dyDescent="0.3">
      <c r="A546" s="3" t="s">
        <v>566</v>
      </c>
      <c r="B546" t="str">
        <f>VLOOKUP(pmsurya[[#This Row],[state]],State!$A$2:$B$37,2,0)</f>
        <v xml:space="preserve"> Tamil Nadu</v>
      </c>
      <c r="C546" t="s">
        <v>593</v>
      </c>
      <c r="D546" s="5">
        <v>162</v>
      </c>
      <c r="E546" s="5">
        <v>112</v>
      </c>
      <c r="F546" s="5">
        <v>112</v>
      </c>
      <c r="G546" s="5">
        <v>409</v>
      </c>
      <c r="H546" s="4">
        <v>7800570</v>
      </c>
      <c r="I546" s="5">
        <f>pmsurya[[#This Row],[applications]]-pmsurya[[#This Row],[installations]]</f>
        <v>50</v>
      </c>
      <c r="J546" s="6">
        <f>(pmsurya[[#This Row],[installations]]/pmsurya[[#This Row],[applications]])</f>
        <v>0.69135802469135799</v>
      </c>
    </row>
    <row r="547" spans="1:10" x14ac:dyDescent="0.3">
      <c r="A547" s="3" t="s">
        <v>566</v>
      </c>
      <c r="B547" t="str">
        <f>VLOOKUP(pmsurya[[#This Row],[state]],State!$A$2:$B$37,2,0)</f>
        <v xml:space="preserve"> Tamil Nadu</v>
      </c>
      <c r="C547" t="s">
        <v>594</v>
      </c>
      <c r="D547" s="5">
        <v>4229</v>
      </c>
      <c r="E547" s="5">
        <v>3128</v>
      </c>
      <c r="F547" s="5">
        <v>3508</v>
      </c>
      <c r="G547" s="5">
        <v>11167</v>
      </c>
      <c r="H547" s="4">
        <v>203403060</v>
      </c>
      <c r="I547" s="5">
        <f>pmsurya[[#This Row],[applications]]-pmsurya[[#This Row],[installations]]</f>
        <v>1101</v>
      </c>
      <c r="J547" s="6">
        <f>(pmsurya[[#This Row],[installations]]/pmsurya[[#This Row],[applications]])</f>
        <v>0.73965476471979197</v>
      </c>
    </row>
    <row r="548" spans="1:10" x14ac:dyDescent="0.3">
      <c r="A548" s="3" t="s">
        <v>566</v>
      </c>
      <c r="B548" t="str">
        <f>VLOOKUP(pmsurya[[#This Row],[state]],State!$A$2:$B$37,2,0)</f>
        <v xml:space="preserve"> Tamil Nadu</v>
      </c>
      <c r="C548" t="s">
        <v>595</v>
      </c>
      <c r="D548" s="5">
        <v>1159</v>
      </c>
      <c r="E548" s="5">
        <v>866</v>
      </c>
      <c r="F548" s="5">
        <v>866</v>
      </c>
      <c r="G548" s="5">
        <v>2993</v>
      </c>
      <c r="H548" s="4">
        <v>58540830</v>
      </c>
      <c r="I548" s="5">
        <f>pmsurya[[#This Row],[applications]]-pmsurya[[#This Row],[installations]]</f>
        <v>293</v>
      </c>
      <c r="J548" s="6">
        <f>(pmsurya[[#This Row],[installations]]/pmsurya[[#This Row],[applications]])</f>
        <v>0.74719585849870573</v>
      </c>
    </row>
    <row r="549" spans="1:10" x14ac:dyDescent="0.3">
      <c r="A549" s="3" t="s">
        <v>566</v>
      </c>
      <c r="B549" t="str">
        <f>VLOOKUP(pmsurya[[#This Row],[state]],State!$A$2:$B$37,2,0)</f>
        <v xml:space="preserve"> Tamil Nadu</v>
      </c>
      <c r="C549" t="s">
        <v>596</v>
      </c>
      <c r="D549" s="5">
        <v>2029</v>
      </c>
      <c r="E549" s="5">
        <v>1670</v>
      </c>
      <c r="F549" s="5">
        <v>1670</v>
      </c>
      <c r="G549" s="5">
        <v>5888</v>
      </c>
      <c r="H549" s="4">
        <v>116304630</v>
      </c>
      <c r="I549" s="5">
        <f>pmsurya[[#This Row],[applications]]-pmsurya[[#This Row],[installations]]</f>
        <v>359</v>
      </c>
      <c r="J549" s="6">
        <f>(pmsurya[[#This Row],[installations]]/pmsurya[[#This Row],[applications]])</f>
        <v>0.82306554953178901</v>
      </c>
    </row>
    <row r="550" spans="1:10" x14ac:dyDescent="0.3">
      <c r="A550" s="3" t="s">
        <v>566</v>
      </c>
      <c r="B550" t="str">
        <f>VLOOKUP(pmsurya[[#This Row],[state]],State!$A$2:$B$37,2,0)</f>
        <v xml:space="preserve"> Tamil Nadu</v>
      </c>
      <c r="C550" t="s">
        <v>597</v>
      </c>
      <c r="D550" s="5">
        <v>4321</v>
      </c>
      <c r="E550" s="5">
        <v>3554</v>
      </c>
      <c r="F550" s="5">
        <v>3875</v>
      </c>
      <c r="G550" s="5">
        <v>12845</v>
      </c>
      <c r="H550" s="4">
        <v>237808980</v>
      </c>
      <c r="I550" s="5">
        <f>pmsurya[[#This Row],[applications]]-pmsurya[[#This Row],[installations]]</f>
        <v>767</v>
      </c>
      <c r="J550" s="6">
        <f>(pmsurya[[#This Row],[installations]]/pmsurya[[#This Row],[applications]])</f>
        <v>0.82249479287202032</v>
      </c>
    </row>
    <row r="551" spans="1:10" x14ac:dyDescent="0.3">
      <c r="A551" s="3" t="s">
        <v>566</v>
      </c>
      <c r="B551" t="str">
        <f>VLOOKUP(pmsurya[[#This Row],[state]],State!$A$2:$B$37,2,0)</f>
        <v xml:space="preserve"> Tamil Nadu</v>
      </c>
      <c r="C551" t="s">
        <v>598</v>
      </c>
      <c r="D551" s="5">
        <v>2086</v>
      </c>
      <c r="E551" s="5">
        <v>1673</v>
      </c>
      <c r="F551" s="5">
        <v>1745</v>
      </c>
      <c r="G551" s="5">
        <v>5994</v>
      </c>
      <c r="H551" s="4">
        <v>112776630</v>
      </c>
      <c r="I551" s="5">
        <f>pmsurya[[#This Row],[applications]]-pmsurya[[#This Row],[installations]]</f>
        <v>413</v>
      </c>
      <c r="J551" s="6">
        <f>(pmsurya[[#This Row],[installations]]/pmsurya[[#This Row],[applications]])</f>
        <v>0.80201342281879195</v>
      </c>
    </row>
    <row r="552" spans="1:10" x14ac:dyDescent="0.3">
      <c r="A552" s="3" t="s">
        <v>566</v>
      </c>
      <c r="B552" t="str">
        <f>VLOOKUP(pmsurya[[#This Row],[state]],State!$A$2:$B$37,2,0)</f>
        <v xml:space="preserve"> Tamil Nadu</v>
      </c>
      <c r="C552" t="s">
        <v>599</v>
      </c>
      <c r="D552" s="5">
        <v>574</v>
      </c>
      <c r="E552" s="5">
        <v>395</v>
      </c>
      <c r="F552" s="5">
        <v>395</v>
      </c>
      <c r="G552" s="5">
        <v>1310</v>
      </c>
      <c r="H552" s="4">
        <v>24934830</v>
      </c>
      <c r="I552" s="5">
        <f>pmsurya[[#This Row],[applications]]-pmsurya[[#This Row],[installations]]</f>
        <v>179</v>
      </c>
      <c r="J552" s="6">
        <f>(pmsurya[[#This Row],[installations]]/pmsurya[[#This Row],[applications]])</f>
        <v>0.68815331010452963</v>
      </c>
    </row>
    <row r="553" spans="1:10" x14ac:dyDescent="0.3">
      <c r="A553" s="3" t="s">
        <v>566</v>
      </c>
      <c r="B553" t="str">
        <f>VLOOKUP(pmsurya[[#This Row],[state]],State!$A$2:$B$37,2,0)</f>
        <v xml:space="preserve"> Tamil Nadu</v>
      </c>
      <c r="C553" t="s">
        <v>600</v>
      </c>
      <c r="D553" s="5">
        <v>4193</v>
      </c>
      <c r="E553" s="5">
        <v>3454</v>
      </c>
      <c r="F553" s="5">
        <v>3566</v>
      </c>
      <c r="G553" s="5">
        <v>12833</v>
      </c>
      <c r="H553" s="4">
        <v>231553080</v>
      </c>
      <c r="I553" s="5">
        <f>pmsurya[[#This Row],[applications]]-pmsurya[[#This Row],[installations]]</f>
        <v>739</v>
      </c>
      <c r="J553" s="6">
        <f>(pmsurya[[#This Row],[installations]]/pmsurya[[#This Row],[applications]])</f>
        <v>0.82375387550679702</v>
      </c>
    </row>
    <row r="554" spans="1:10" x14ac:dyDescent="0.3">
      <c r="A554" s="3" t="s">
        <v>566</v>
      </c>
      <c r="B554" t="str">
        <f>VLOOKUP(pmsurya[[#This Row],[state]],State!$A$2:$B$37,2,0)</f>
        <v xml:space="preserve"> Tamil Nadu</v>
      </c>
      <c r="C554" t="s">
        <v>601</v>
      </c>
      <c r="D554" s="5">
        <v>1381</v>
      </c>
      <c r="E554" s="5">
        <v>947</v>
      </c>
      <c r="F554" s="5">
        <v>952</v>
      </c>
      <c r="G554" s="5">
        <v>3164</v>
      </c>
      <c r="H554" s="4">
        <v>62983380</v>
      </c>
      <c r="I554" s="5">
        <f>pmsurya[[#This Row],[applications]]-pmsurya[[#This Row],[installations]]</f>
        <v>434</v>
      </c>
      <c r="J554" s="6">
        <f>(pmsurya[[#This Row],[installations]]/pmsurya[[#This Row],[applications]])</f>
        <v>0.68573497465604638</v>
      </c>
    </row>
    <row r="555" spans="1:10" x14ac:dyDescent="0.3">
      <c r="A555" s="3" t="s">
        <v>566</v>
      </c>
      <c r="B555" t="str">
        <f>VLOOKUP(pmsurya[[#This Row],[state]],State!$A$2:$B$37,2,0)</f>
        <v xml:space="preserve"> Tamil Nadu</v>
      </c>
      <c r="C555" t="s">
        <v>602</v>
      </c>
      <c r="D555" s="5">
        <v>1699</v>
      </c>
      <c r="E555" s="5">
        <v>1273</v>
      </c>
      <c r="F555" s="5">
        <v>1273</v>
      </c>
      <c r="G555" s="5">
        <v>4521</v>
      </c>
      <c r="H555" s="4">
        <v>86653290</v>
      </c>
      <c r="I555" s="5">
        <f>pmsurya[[#This Row],[applications]]-pmsurya[[#This Row],[installations]]</f>
        <v>426</v>
      </c>
      <c r="J555" s="6">
        <f>(pmsurya[[#This Row],[installations]]/pmsurya[[#This Row],[applications]])</f>
        <v>0.74926427310182464</v>
      </c>
    </row>
    <row r="556" spans="1:10" x14ac:dyDescent="0.3">
      <c r="A556" s="3" t="s">
        <v>566</v>
      </c>
      <c r="B556" t="str">
        <f>VLOOKUP(pmsurya[[#This Row],[state]],State!$A$2:$B$37,2,0)</f>
        <v xml:space="preserve"> Tamil Nadu</v>
      </c>
      <c r="C556" t="s">
        <v>603</v>
      </c>
      <c r="D556" s="5">
        <v>1251</v>
      </c>
      <c r="E556" s="5">
        <v>851</v>
      </c>
      <c r="F556" s="5">
        <v>851</v>
      </c>
      <c r="G556" s="5">
        <v>2833</v>
      </c>
      <c r="H556" s="4">
        <v>54325170</v>
      </c>
      <c r="I556" s="5">
        <f>pmsurya[[#This Row],[applications]]-pmsurya[[#This Row],[installations]]</f>
        <v>400</v>
      </c>
      <c r="J556" s="6">
        <f>(pmsurya[[#This Row],[installations]]/pmsurya[[#This Row],[applications]])</f>
        <v>0.68025579536370906</v>
      </c>
    </row>
    <row r="557" spans="1:10" x14ac:dyDescent="0.3">
      <c r="A557" s="3" t="s">
        <v>566</v>
      </c>
      <c r="B557" t="str">
        <f>VLOOKUP(pmsurya[[#This Row],[state]],State!$A$2:$B$37,2,0)</f>
        <v xml:space="preserve"> Tamil Nadu</v>
      </c>
      <c r="C557" t="s">
        <v>604</v>
      </c>
      <c r="D557" s="5">
        <v>2329</v>
      </c>
      <c r="E557" s="5">
        <v>1957</v>
      </c>
      <c r="F557" s="5">
        <v>1957</v>
      </c>
      <c r="G557" s="5">
        <v>6908</v>
      </c>
      <c r="H557" s="4">
        <v>134407362</v>
      </c>
      <c r="I557" s="5">
        <f>pmsurya[[#This Row],[applications]]-pmsurya[[#This Row],[installations]]</f>
        <v>372</v>
      </c>
      <c r="J557" s="6">
        <f>(pmsurya[[#This Row],[installations]]/pmsurya[[#This Row],[applications]])</f>
        <v>0.84027479604980682</v>
      </c>
    </row>
    <row r="558" spans="1:10" x14ac:dyDescent="0.3">
      <c r="A558" s="3" t="s">
        <v>780</v>
      </c>
      <c r="B558" t="str">
        <f>VLOOKUP(pmsurya[[#This Row],[state]],State!$A$2:$B$37,2,0)</f>
        <v xml:space="preserve"> Puducherry</v>
      </c>
      <c r="C558" t="s">
        <v>781</v>
      </c>
      <c r="D558" s="5">
        <v>421</v>
      </c>
      <c r="E558" s="5">
        <v>304</v>
      </c>
      <c r="F558" s="5">
        <v>304</v>
      </c>
      <c r="G558" s="5">
        <v>1134</v>
      </c>
      <c r="H558" s="4">
        <v>20703300</v>
      </c>
      <c r="I558" s="5">
        <f>pmsurya[[#This Row],[applications]]-pmsurya[[#This Row],[installations]]</f>
        <v>117</v>
      </c>
      <c r="J558" s="6">
        <f>(pmsurya[[#This Row],[installations]]/pmsurya[[#This Row],[applications]])</f>
        <v>0.7220902612826603</v>
      </c>
    </row>
    <row r="559" spans="1:10" x14ac:dyDescent="0.3">
      <c r="A559" s="3" t="s">
        <v>780</v>
      </c>
      <c r="B559" t="str">
        <f>VLOOKUP(pmsurya[[#This Row],[state]],State!$A$2:$B$37,2,0)</f>
        <v xml:space="preserve"> Puducherry</v>
      </c>
      <c r="C559" t="s">
        <v>782</v>
      </c>
      <c r="D559" s="5">
        <v>121</v>
      </c>
      <c r="E559" s="5">
        <v>71</v>
      </c>
      <c r="F559" s="5">
        <v>71</v>
      </c>
      <c r="G559" s="5">
        <v>299</v>
      </c>
      <c r="H559" s="4">
        <v>5226000</v>
      </c>
      <c r="I559" s="5">
        <f>pmsurya[[#This Row],[applications]]-pmsurya[[#This Row],[installations]]</f>
        <v>50</v>
      </c>
      <c r="J559" s="6">
        <f>(pmsurya[[#This Row],[installations]]/pmsurya[[#This Row],[applications]])</f>
        <v>0.58677685950413228</v>
      </c>
    </row>
    <row r="560" spans="1:10" x14ac:dyDescent="0.3">
      <c r="A560" s="3" t="s">
        <v>780</v>
      </c>
      <c r="B560" t="str">
        <f>VLOOKUP(pmsurya[[#This Row],[state]],State!$A$2:$B$37,2,0)</f>
        <v xml:space="preserve"> Puducherry</v>
      </c>
      <c r="C560" t="s">
        <v>783</v>
      </c>
      <c r="D560" s="5">
        <v>4648</v>
      </c>
      <c r="E560" s="5">
        <v>3382</v>
      </c>
      <c r="F560" s="5">
        <v>3401</v>
      </c>
      <c r="G560" s="5">
        <v>11906</v>
      </c>
      <c r="H560" s="4">
        <v>230932140</v>
      </c>
      <c r="I560" s="5">
        <f>pmsurya[[#This Row],[applications]]-pmsurya[[#This Row],[installations]]</f>
        <v>1266</v>
      </c>
      <c r="J560" s="6">
        <f>(pmsurya[[#This Row],[installations]]/pmsurya[[#This Row],[applications]])</f>
        <v>0.72762478485370052</v>
      </c>
    </row>
    <row r="561" spans="1:10" x14ac:dyDescent="0.3">
      <c r="A561" s="3" t="s">
        <v>780</v>
      </c>
      <c r="B561" t="str">
        <f>VLOOKUP(pmsurya[[#This Row],[state]],State!$A$2:$B$37,2,0)</f>
        <v xml:space="preserve"> Puducherry</v>
      </c>
      <c r="C561" t="s">
        <v>784</v>
      </c>
      <c r="D561" s="5">
        <v>336</v>
      </c>
      <c r="E561" s="5">
        <v>209</v>
      </c>
      <c r="F561" s="5">
        <v>209</v>
      </c>
      <c r="G561" s="5">
        <v>711</v>
      </c>
      <c r="H561" s="4">
        <v>13230840</v>
      </c>
      <c r="I561" s="5">
        <f>pmsurya[[#This Row],[applications]]-pmsurya[[#This Row],[installations]]</f>
        <v>127</v>
      </c>
      <c r="J561" s="6">
        <f>(pmsurya[[#This Row],[installations]]/pmsurya[[#This Row],[applications]])</f>
        <v>0.62202380952380953</v>
      </c>
    </row>
    <row r="562" spans="1:10" x14ac:dyDescent="0.3">
      <c r="A562" s="3" t="s">
        <v>760</v>
      </c>
      <c r="B562" t="str">
        <f>VLOOKUP(pmsurya[[#This Row],[state]],State!$A$2:$B$37,2,0)</f>
        <v xml:space="preserve"> Andaman and Nicobar Islands</v>
      </c>
      <c r="C562" t="s">
        <v>761</v>
      </c>
      <c r="D562" s="5">
        <v>8</v>
      </c>
      <c r="E562" s="5">
        <v>4</v>
      </c>
      <c r="F562" s="5">
        <v>4</v>
      </c>
      <c r="G562" s="5">
        <v>12</v>
      </c>
      <c r="H562" s="4">
        <v>171600</v>
      </c>
      <c r="I562" s="5">
        <f>pmsurya[[#This Row],[applications]]-pmsurya[[#This Row],[installations]]</f>
        <v>4</v>
      </c>
      <c r="J562" s="6">
        <f>(pmsurya[[#This Row],[installations]]/pmsurya[[#This Row],[applications]])</f>
        <v>0.5</v>
      </c>
    </row>
    <row r="563" spans="1:10" x14ac:dyDescent="0.3">
      <c r="A563" s="3" t="s">
        <v>760</v>
      </c>
      <c r="B563" t="str">
        <f>VLOOKUP(pmsurya[[#This Row],[state]],State!$A$2:$B$37,2,0)</f>
        <v xml:space="preserve"> Andaman and Nicobar Islands</v>
      </c>
      <c r="C563" t="s">
        <v>762</v>
      </c>
      <c r="D563" s="5">
        <v>110</v>
      </c>
      <c r="E563" s="5">
        <v>32</v>
      </c>
      <c r="F563" s="5">
        <v>32</v>
      </c>
      <c r="G563" s="5">
        <v>100</v>
      </c>
      <c r="H563" s="4">
        <v>2129160</v>
      </c>
      <c r="I563" s="5">
        <f>pmsurya[[#This Row],[applications]]-pmsurya[[#This Row],[installations]]</f>
        <v>78</v>
      </c>
      <c r="J563" s="6">
        <f>(pmsurya[[#This Row],[installations]]/pmsurya[[#This Row],[applications]])</f>
        <v>0.29090909090909089</v>
      </c>
    </row>
    <row r="564" spans="1:10" x14ac:dyDescent="0.3">
      <c r="A564" s="3" t="s">
        <v>760</v>
      </c>
      <c r="B564" t="str">
        <f>VLOOKUP(pmsurya[[#This Row],[state]],State!$A$2:$B$37,2,0)</f>
        <v xml:space="preserve"> Andaman and Nicobar Islands</v>
      </c>
      <c r="C564" t="s">
        <v>763</v>
      </c>
      <c r="D564" s="5">
        <v>669</v>
      </c>
      <c r="E564" s="5">
        <v>282</v>
      </c>
      <c r="F564" s="5">
        <v>301</v>
      </c>
      <c r="G564" s="5">
        <v>929</v>
      </c>
      <c r="H564" s="4">
        <v>18767562</v>
      </c>
      <c r="I564" s="5">
        <f>pmsurya[[#This Row],[applications]]-pmsurya[[#This Row],[installations]]</f>
        <v>387</v>
      </c>
      <c r="J564" s="6">
        <f>(pmsurya[[#This Row],[installations]]/pmsurya[[#This Row],[applications]])</f>
        <v>0.42152466367713004</v>
      </c>
    </row>
    <row r="565" spans="1:10" x14ac:dyDescent="0.3">
      <c r="A565" s="3" t="s">
        <v>605</v>
      </c>
      <c r="B565" t="str">
        <f>VLOOKUP(pmsurya[[#This Row],[state]],State!$A$2:$B$37,2,0)</f>
        <v xml:space="preserve"> Telangana</v>
      </c>
      <c r="C565" t="s">
        <v>606</v>
      </c>
      <c r="D565" s="5">
        <v>1702</v>
      </c>
      <c r="E565" s="5">
        <v>1217</v>
      </c>
      <c r="F565" s="5">
        <v>1217</v>
      </c>
      <c r="G565" s="5">
        <v>4457</v>
      </c>
      <c r="H565" s="4">
        <v>81807240</v>
      </c>
      <c r="I565" s="5">
        <f>pmsurya[[#This Row],[applications]]-pmsurya[[#This Row],[installations]]</f>
        <v>485</v>
      </c>
      <c r="J565" s="6">
        <f>(pmsurya[[#This Row],[installations]]/pmsurya[[#This Row],[applications]])</f>
        <v>0.71504112808460629</v>
      </c>
    </row>
    <row r="566" spans="1:10" x14ac:dyDescent="0.3">
      <c r="A566" s="3" t="s">
        <v>605</v>
      </c>
      <c r="B566" t="str">
        <f>VLOOKUP(pmsurya[[#This Row],[state]],State!$A$2:$B$37,2,0)</f>
        <v xml:space="preserve"> Telangana</v>
      </c>
      <c r="C566" t="s">
        <v>607</v>
      </c>
      <c r="D566" s="5">
        <v>4265</v>
      </c>
      <c r="E566" s="5">
        <v>2144</v>
      </c>
      <c r="F566" s="5">
        <v>2193</v>
      </c>
      <c r="G566" s="5">
        <v>7963</v>
      </c>
      <c r="H566" s="4">
        <v>136272000</v>
      </c>
      <c r="I566" s="5">
        <f>pmsurya[[#This Row],[applications]]-pmsurya[[#This Row],[installations]]</f>
        <v>2121</v>
      </c>
      <c r="J566" s="6">
        <f>(pmsurya[[#This Row],[installations]]/pmsurya[[#This Row],[applications]])</f>
        <v>0.50269636576787813</v>
      </c>
    </row>
    <row r="567" spans="1:10" x14ac:dyDescent="0.3">
      <c r="A567" s="3" t="s">
        <v>605</v>
      </c>
      <c r="B567" t="str">
        <f>VLOOKUP(pmsurya[[#This Row],[state]],State!$A$2:$B$37,2,0)</f>
        <v xml:space="preserve"> Telangana</v>
      </c>
      <c r="C567" t="s">
        <v>608</v>
      </c>
      <c r="D567" s="5">
        <v>3919</v>
      </c>
      <c r="E567" s="5">
        <v>2647</v>
      </c>
      <c r="F567" s="5">
        <v>2935</v>
      </c>
      <c r="G567" s="5">
        <v>9233</v>
      </c>
      <c r="H567" s="4">
        <v>161281470</v>
      </c>
      <c r="I567" s="5">
        <f>pmsurya[[#This Row],[applications]]-pmsurya[[#This Row],[installations]]</f>
        <v>1272</v>
      </c>
      <c r="J567" s="6">
        <f>(pmsurya[[#This Row],[installations]]/pmsurya[[#This Row],[applications]])</f>
        <v>0.67542740495024245</v>
      </c>
    </row>
    <row r="568" spans="1:10" x14ac:dyDescent="0.3">
      <c r="A568" s="3" t="s">
        <v>605</v>
      </c>
      <c r="B568" t="str">
        <f>VLOOKUP(pmsurya[[#This Row],[state]],State!$A$2:$B$37,2,0)</f>
        <v xml:space="preserve"> Telangana</v>
      </c>
      <c r="C568" t="s">
        <v>609</v>
      </c>
      <c r="D568" s="5">
        <v>4684</v>
      </c>
      <c r="E568" s="5">
        <v>3150</v>
      </c>
      <c r="F568" s="5">
        <v>7150</v>
      </c>
      <c r="G568" s="5">
        <v>13586</v>
      </c>
      <c r="H568" s="4">
        <v>216951540</v>
      </c>
      <c r="I568" s="5">
        <f>pmsurya[[#This Row],[applications]]-pmsurya[[#This Row],[installations]]</f>
        <v>1534</v>
      </c>
      <c r="J568" s="6">
        <f>(pmsurya[[#This Row],[installations]]/pmsurya[[#This Row],[applications]])</f>
        <v>0.67250213492741251</v>
      </c>
    </row>
    <row r="569" spans="1:10" x14ac:dyDescent="0.3">
      <c r="A569" s="3" t="s">
        <v>605</v>
      </c>
      <c r="B569" t="str">
        <f>VLOOKUP(pmsurya[[#This Row],[state]],State!$A$2:$B$37,2,0)</f>
        <v xml:space="preserve"> Telangana</v>
      </c>
      <c r="C569" t="s">
        <v>610</v>
      </c>
      <c r="D569" s="5">
        <v>957</v>
      </c>
      <c r="E569" s="5">
        <v>492</v>
      </c>
      <c r="F569" s="5">
        <v>492</v>
      </c>
      <c r="G569" s="5">
        <v>1806</v>
      </c>
      <c r="H569" s="4">
        <v>29686350</v>
      </c>
      <c r="I569" s="5">
        <f>pmsurya[[#This Row],[applications]]-pmsurya[[#This Row],[installations]]</f>
        <v>465</v>
      </c>
      <c r="J569" s="6">
        <f>(pmsurya[[#This Row],[installations]]/pmsurya[[#This Row],[applications]])</f>
        <v>0.51410658307210033</v>
      </c>
    </row>
    <row r="570" spans="1:10" x14ac:dyDescent="0.3">
      <c r="A570" s="3" t="s">
        <v>605</v>
      </c>
      <c r="B570" t="str">
        <f>VLOOKUP(pmsurya[[#This Row],[state]],State!$A$2:$B$37,2,0)</f>
        <v xml:space="preserve"> Telangana</v>
      </c>
      <c r="C570" t="s">
        <v>611</v>
      </c>
      <c r="D570" s="5">
        <v>788</v>
      </c>
      <c r="E570" s="5">
        <v>337</v>
      </c>
      <c r="F570" s="5">
        <v>337</v>
      </c>
      <c r="G570" s="5">
        <v>1140</v>
      </c>
      <c r="H570" s="4">
        <v>19638240</v>
      </c>
      <c r="I570" s="5">
        <f>pmsurya[[#This Row],[applications]]-pmsurya[[#This Row],[installations]]</f>
        <v>451</v>
      </c>
      <c r="J570" s="6">
        <f>(pmsurya[[#This Row],[installations]]/pmsurya[[#This Row],[applications]])</f>
        <v>0.42766497461928932</v>
      </c>
    </row>
    <row r="571" spans="1:10" x14ac:dyDescent="0.3">
      <c r="A571" s="3" t="s">
        <v>605</v>
      </c>
      <c r="B571" t="str">
        <f>VLOOKUP(pmsurya[[#This Row],[state]],State!$A$2:$B$37,2,0)</f>
        <v xml:space="preserve"> Telangana</v>
      </c>
      <c r="C571" t="s">
        <v>612</v>
      </c>
      <c r="D571" s="5">
        <v>352</v>
      </c>
      <c r="E571" s="5">
        <v>159</v>
      </c>
      <c r="F571" s="5">
        <v>159</v>
      </c>
      <c r="G571" s="5">
        <v>560</v>
      </c>
      <c r="H571" s="4">
        <v>8637750</v>
      </c>
      <c r="I571" s="5">
        <f>pmsurya[[#This Row],[applications]]-pmsurya[[#This Row],[installations]]</f>
        <v>193</v>
      </c>
      <c r="J571" s="6">
        <f>(pmsurya[[#This Row],[installations]]/pmsurya[[#This Row],[applications]])</f>
        <v>0.45170454545454547</v>
      </c>
    </row>
    <row r="572" spans="1:10" x14ac:dyDescent="0.3">
      <c r="A572" s="3" t="s">
        <v>605</v>
      </c>
      <c r="B572" t="str">
        <f>VLOOKUP(pmsurya[[#This Row],[state]],State!$A$2:$B$37,2,0)</f>
        <v xml:space="preserve"> Telangana</v>
      </c>
      <c r="C572" t="s">
        <v>613</v>
      </c>
      <c r="D572" s="5">
        <v>222</v>
      </c>
      <c r="E572" s="5">
        <v>117</v>
      </c>
      <c r="F572" s="5">
        <v>117</v>
      </c>
      <c r="G572" s="5">
        <v>474</v>
      </c>
      <c r="H572" s="4">
        <v>7677000</v>
      </c>
      <c r="I572" s="5">
        <f>pmsurya[[#This Row],[applications]]-pmsurya[[#This Row],[installations]]</f>
        <v>105</v>
      </c>
      <c r="J572" s="6">
        <f>(pmsurya[[#This Row],[installations]]/pmsurya[[#This Row],[applications]])</f>
        <v>0.52702702702702697</v>
      </c>
    </row>
    <row r="573" spans="1:10" x14ac:dyDescent="0.3">
      <c r="A573" s="3" t="s">
        <v>605</v>
      </c>
      <c r="B573" t="str">
        <f>VLOOKUP(pmsurya[[#This Row],[state]],State!$A$2:$B$37,2,0)</f>
        <v xml:space="preserve"> Telangana</v>
      </c>
      <c r="C573" t="s">
        <v>614</v>
      </c>
      <c r="D573" s="5">
        <v>535</v>
      </c>
      <c r="E573" s="5">
        <v>291</v>
      </c>
      <c r="F573" s="5">
        <v>291</v>
      </c>
      <c r="G573" s="5">
        <v>1052</v>
      </c>
      <c r="H573" s="4">
        <v>16581840</v>
      </c>
      <c r="I573" s="5">
        <f>pmsurya[[#This Row],[applications]]-pmsurya[[#This Row],[installations]]</f>
        <v>244</v>
      </c>
      <c r="J573" s="6">
        <f>(pmsurya[[#This Row],[installations]]/pmsurya[[#This Row],[applications]])</f>
        <v>0.54392523364485978</v>
      </c>
    </row>
    <row r="574" spans="1:10" x14ac:dyDescent="0.3">
      <c r="A574" s="3" t="s">
        <v>605</v>
      </c>
      <c r="B574" t="str">
        <f>VLOOKUP(pmsurya[[#This Row],[state]],State!$A$2:$B$37,2,0)</f>
        <v xml:space="preserve"> Telangana</v>
      </c>
      <c r="C574" t="s">
        <v>615</v>
      </c>
      <c r="D574" s="5">
        <v>3869</v>
      </c>
      <c r="E574" s="5">
        <v>2477</v>
      </c>
      <c r="F574" s="5">
        <v>2496</v>
      </c>
      <c r="G574" s="5">
        <v>8984</v>
      </c>
      <c r="H574" s="4">
        <v>141827070</v>
      </c>
      <c r="I574" s="5">
        <f>pmsurya[[#This Row],[applications]]-pmsurya[[#This Row],[installations]]</f>
        <v>1392</v>
      </c>
      <c r="J574" s="6">
        <f>(pmsurya[[#This Row],[installations]]/pmsurya[[#This Row],[applications]])</f>
        <v>0.64021711036443529</v>
      </c>
    </row>
    <row r="575" spans="1:10" x14ac:dyDescent="0.3">
      <c r="A575" s="3" t="s">
        <v>605</v>
      </c>
      <c r="B575" t="str">
        <f>VLOOKUP(pmsurya[[#This Row],[state]],State!$A$2:$B$37,2,0)</f>
        <v xml:space="preserve"> Telangana</v>
      </c>
      <c r="C575" t="s">
        <v>616</v>
      </c>
      <c r="D575" s="5">
        <v>10820</v>
      </c>
      <c r="E575" s="5">
        <v>5521</v>
      </c>
      <c r="F575" s="5">
        <v>5521</v>
      </c>
      <c r="G575" s="5">
        <v>16555</v>
      </c>
      <c r="H575" s="4">
        <v>215348130</v>
      </c>
      <c r="I575" s="5">
        <f>pmsurya[[#This Row],[applications]]-pmsurya[[#This Row],[installations]]</f>
        <v>5299</v>
      </c>
      <c r="J575" s="6">
        <f>(pmsurya[[#This Row],[installations]]/pmsurya[[#This Row],[applications]])</f>
        <v>0.51025878003696856</v>
      </c>
    </row>
    <row r="576" spans="1:10" x14ac:dyDescent="0.3">
      <c r="A576" s="3" t="s">
        <v>605</v>
      </c>
      <c r="B576" t="str">
        <f>VLOOKUP(pmsurya[[#This Row],[state]],State!$A$2:$B$37,2,0)</f>
        <v xml:space="preserve"> Telangana</v>
      </c>
      <c r="C576" t="s">
        <v>617</v>
      </c>
      <c r="D576" s="5">
        <v>363</v>
      </c>
      <c r="E576" s="5">
        <v>147</v>
      </c>
      <c r="F576" s="5">
        <v>147</v>
      </c>
      <c r="G576" s="5">
        <v>543</v>
      </c>
      <c r="H576" s="4">
        <v>8579880</v>
      </c>
      <c r="I576" s="5">
        <f>pmsurya[[#This Row],[applications]]-pmsurya[[#This Row],[installations]]</f>
        <v>216</v>
      </c>
      <c r="J576" s="6">
        <f>(pmsurya[[#This Row],[installations]]/pmsurya[[#This Row],[applications]])</f>
        <v>0.4049586776859504</v>
      </c>
    </row>
    <row r="577" spans="1:10" x14ac:dyDescent="0.3">
      <c r="A577" s="3" t="s">
        <v>605</v>
      </c>
      <c r="B577" t="str">
        <f>VLOOKUP(pmsurya[[#This Row],[state]],State!$A$2:$B$37,2,0)</f>
        <v xml:space="preserve"> Telangana</v>
      </c>
      <c r="C577" t="s">
        <v>618</v>
      </c>
      <c r="D577" s="5">
        <v>888</v>
      </c>
      <c r="E577" s="5">
        <v>336</v>
      </c>
      <c r="F577" s="5">
        <v>336</v>
      </c>
      <c r="G577" s="5">
        <v>1218</v>
      </c>
      <c r="H577" s="4">
        <v>20918640</v>
      </c>
      <c r="I577" s="5">
        <f>pmsurya[[#This Row],[applications]]-pmsurya[[#This Row],[installations]]</f>
        <v>552</v>
      </c>
      <c r="J577" s="6">
        <f>(pmsurya[[#This Row],[installations]]/pmsurya[[#This Row],[applications]])</f>
        <v>0.3783783783783784</v>
      </c>
    </row>
    <row r="578" spans="1:10" x14ac:dyDescent="0.3">
      <c r="A578" s="3" t="s">
        <v>605</v>
      </c>
      <c r="B578" t="str">
        <f>VLOOKUP(pmsurya[[#This Row],[state]],State!$A$2:$B$37,2,0)</f>
        <v xml:space="preserve"> Telangana</v>
      </c>
      <c r="C578" t="s">
        <v>619</v>
      </c>
      <c r="D578" s="5">
        <v>950</v>
      </c>
      <c r="E578" s="5">
        <v>430</v>
      </c>
      <c r="F578" s="5">
        <v>430</v>
      </c>
      <c r="G578" s="5">
        <v>1535</v>
      </c>
      <c r="H578" s="4">
        <v>28516170</v>
      </c>
      <c r="I578" s="5">
        <f>pmsurya[[#This Row],[applications]]-pmsurya[[#This Row],[installations]]</f>
        <v>520</v>
      </c>
      <c r="J578" s="6">
        <f>(pmsurya[[#This Row],[installations]]/pmsurya[[#This Row],[applications]])</f>
        <v>0.45263157894736844</v>
      </c>
    </row>
    <row r="579" spans="1:10" x14ac:dyDescent="0.3">
      <c r="A579" s="3" t="s">
        <v>605</v>
      </c>
      <c r="B579" t="str">
        <f>VLOOKUP(pmsurya[[#This Row],[state]],State!$A$2:$B$37,2,0)</f>
        <v xml:space="preserve"> Telangana</v>
      </c>
      <c r="C579" t="s">
        <v>620</v>
      </c>
      <c r="D579" s="5">
        <v>2555</v>
      </c>
      <c r="E579" s="5">
        <v>1431</v>
      </c>
      <c r="F579" s="5">
        <v>1543</v>
      </c>
      <c r="G579" s="5">
        <v>5024</v>
      </c>
      <c r="H579" s="4">
        <v>77694960</v>
      </c>
      <c r="I579" s="5">
        <f>pmsurya[[#This Row],[applications]]-pmsurya[[#This Row],[installations]]</f>
        <v>1124</v>
      </c>
      <c r="J579" s="6">
        <f>(pmsurya[[#This Row],[installations]]/pmsurya[[#This Row],[applications]])</f>
        <v>0.56007827788649711</v>
      </c>
    </row>
    <row r="580" spans="1:10" x14ac:dyDescent="0.3">
      <c r="A580" s="3" t="s">
        <v>605</v>
      </c>
      <c r="B580" t="str">
        <f>VLOOKUP(pmsurya[[#This Row],[state]],State!$A$2:$B$37,2,0)</f>
        <v xml:space="preserve"> Telangana</v>
      </c>
      <c r="C580" t="s">
        <v>621</v>
      </c>
      <c r="D580" s="5">
        <v>291</v>
      </c>
      <c r="E580" s="5">
        <v>156</v>
      </c>
      <c r="F580" s="5">
        <v>156</v>
      </c>
      <c r="G580" s="5">
        <v>601</v>
      </c>
      <c r="H580" s="4">
        <v>10032930</v>
      </c>
      <c r="I580" s="5">
        <f>pmsurya[[#This Row],[applications]]-pmsurya[[#This Row],[installations]]</f>
        <v>135</v>
      </c>
      <c r="J580" s="6">
        <f>(pmsurya[[#This Row],[installations]]/pmsurya[[#This Row],[applications]])</f>
        <v>0.53608247422680411</v>
      </c>
    </row>
    <row r="581" spans="1:10" x14ac:dyDescent="0.3">
      <c r="A581" s="3" t="s">
        <v>605</v>
      </c>
      <c r="B581" t="str">
        <f>VLOOKUP(pmsurya[[#This Row],[state]],State!$A$2:$B$37,2,0)</f>
        <v xml:space="preserve"> Telangana</v>
      </c>
      <c r="C581" t="s">
        <v>622</v>
      </c>
      <c r="D581" s="5">
        <v>9713</v>
      </c>
      <c r="E581" s="5">
        <v>6558</v>
      </c>
      <c r="F581" s="5">
        <v>9910</v>
      </c>
      <c r="G581" s="5">
        <v>27350</v>
      </c>
      <c r="H581" s="4">
        <v>434407410</v>
      </c>
      <c r="I581" s="5">
        <f>pmsurya[[#This Row],[applications]]-pmsurya[[#This Row],[installations]]</f>
        <v>3155</v>
      </c>
      <c r="J581" s="6">
        <f>(pmsurya[[#This Row],[installations]]/pmsurya[[#This Row],[applications]])</f>
        <v>0.67517759703490166</v>
      </c>
    </row>
    <row r="582" spans="1:10" x14ac:dyDescent="0.3">
      <c r="A582" s="3" t="s">
        <v>605</v>
      </c>
      <c r="B582" t="str">
        <f>VLOOKUP(pmsurya[[#This Row],[state]],State!$A$2:$B$37,2,0)</f>
        <v xml:space="preserve"> Telangana</v>
      </c>
      <c r="C582" t="s">
        <v>623</v>
      </c>
      <c r="D582" s="5">
        <v>497</v>
      </c>
      <c r="E582" s="5">
        <v>229</v>
      </c>
      <c r="F582" s="5">
        <v>229</v>
      </c>
      <c r="G582" s="5">
        <v>716</v>
      </c>
      <c r="H582" s="4">
        <v>9722760</v>
      </c>
      <c r="I582" s="5">
        <f>pmsurya[[#This Row],[applications]]-pmsurya[[#This Row],[installations]]</f>
        <v>268</v>
      </c>
      <c r="J582" s="6">
        <f>(pmsurya[[#This Row],[installations]]/pmsurya[[#This Row],[applications]])</f>
        <v>0.46076458752515093</v>
      </c>
    </row>
    <row r="583" spans="1:10" x14ac:dyDescent="0.3">
      <c r="A583" s="3" t="s">
        <v>605</v>
      </c>
      <c r="B583" t="str">
        <f>VLOOKUP(pmsurya[[#This Row],[state]],State!$A$2:$B$37,2,0)</f>
        <v xml:space="preserve"> Telangana</v>
      </c>
      <c r="C583" t="s">
        <v>624</v>
      </c>
      <c r="D583" s="5">
        <v>1115</v>
      </c>
      <c r="E583" s="5">
        <v>819</v>
      </c>
      <c r="F583" s="5">
        <v>819</v>
      </c>
      <c r="G583" s="5">
        <v>2516</v>
      </c>
      <c r="H583" s="4">
        <v>44054520</v>
      </c>
      <c r="I583" s="5">
        <f>pmsurya[[#This Row],[applications]]-pmsurya[[#This Row],[installations]]</f>
        <v>296</v>
      </c>
      <c r="J583" s="6">
        <f>(pmsurya[[#This Row],[installations]]/pmsurya[[#This Row],[applications]])</f>
        <v>0.73452914798206281</v>
      </c>
    </row>
    <row r="584" spans="1:10" x14ac:dyDescent="0.3">
      <c r="A584" s="3" t="s">
        <v>605</v>
      </c>
      <c r="B584" t="str">
        <f>VLOOKUP(pmsurya[[#This Row],[state]],State!$A$2:$B$37,2,0)</f>
        <v xml:space="preserve"> Telangana</v>
      </c>
      <c r="C584" t="s">
        <v>625</v>
      </c>
      <c r="D584" s="5">
        <v>2474</v>
      </c>
      <c r="E584" s="5">
        <v>1576</v>
      </c>
      <c r="F584" s="5">
        <v>1619</v>
      </c>
      <c r="G584" s="5">
        <v>5437</v>
      </c>
      <c r="H584" s="4">
        <v>98960400</v>
      </c>
      <c r="I584" s="5">
        <f>pmsurya[[#This Row],[applications]]-pmsurya[[#This Row],[installations]]</f>
        <v>898</v>
      </c>
      <c r="J584" s="6">
        <f>(pmsurya[[#This Row],[installations]]/pmsurya[[#This Row],[applications]])</f>
        <v>0.63702506063055775</v>
      </c>
    </row>
    <row r="585" spans="1:10" x14ac:dyDescent="0.3">
      <c r="A585" s="3" t="s">
        <v>605</v>
      </c>
      <c r="B585" t="str">
        <f>VLOOKUP(pmsurya[[#This Row],[state]],State!$A$2:$B$37,2,0)</f>
        <v xml:space="preserve"> Telangana</v>
      </c>
      <c r="C585" t="s">
        <v>626</v>
      </c>
      <c r="D585" s="5">
        <v>139</v>
      </c>
      <c r="E585" s="5">
        <v>35</v>
      </c>
      <c r="F585" s="5">
        <v>35</v>
      </c>
      <c r="G585" s="5">
        <v>118</v>
      </c>
      <c r="H585" s="4">
        <v>2418000</v>
      </c>
      <c r="I585" s="5">
        <f>pmsurya[[#This Row],[applications]]-pmsurya[[#This Row],[installations]]</f>
        <v>104</v>
      </c>
      <c r="J585" s="6">
        <f>(pmsurya[[#This Row],[installations]]/pmsurya[[#This Row],[applications]])</f>
        <v>0.25179856115107913</v>
      </c>
    </row>
    <row r="586" spans="1:10" x14ac:dyDescent="0.3">
      <c r="A586" s="3" t="s">
        <v>605</v>
      </c>
      <c r="B586" t="str">
        <f>VLOOKUP(pmsurya[[#This Row],[state]],State!$A$2:$B$37,2,0)</f>
        <v xml:space="preserve"> Telangana</v>
      </c>
      <c r="C586" t="s">
        <v>627</v>
      </c>
      <c r="D586" s="5">
        <v>643</v>
      </c>
      <c r="E586" s="5">
        <v>359</v>
      </c>
      <c r="F586" s="5">
        <v>417</v>
      </c>
      <c r="G586" s="5">
        <v>1351</v>
      </c>
      <c r="H586" s="4">
        <v>22655760</v>
      </c>
      <c r="I586" s="5">
        <f>pmsurya[[#This Row],[applications]]-pmsurya[[#This Row],[installations]]</f>
        <v>284</v>
      </c>
      <c r="J586" s="6">
        <f>(pmsurya[[#This Row],[installations]]/pmsurya[[#This Row],[applications]])</f>
        <v>0.55832037325038886</v>
      </c>
    </row>
    <row r="587" spans="1:10" x14ac:dyDescent="0.3">
      <c r="A587" s="3" t="s">
        <v>605</v>
      </c>
      <c r="B587" t="str">
        <f>VLOOKUP(pmsurya[[#This Row],[state]],State!$A$2:$B$37,2,0)</f>
        <v xml:space="preserve"> Telangana</v>
      </c>
      <c r="C587" t="s">
        <v>628</v>
      </c>
      <c r="D587" s="5">
        <v>2999</v>
      </c>
      <c r="E587" s="5">
        <v>1823</v>
      </c>
      <c r="F587" s="5">
        <v>1915</v>
      </c>
      <c r="G587" s="5">
        <v>7025</v>
      </c>
      <c r="H587" s="4">
        <v>116012070</v>
      </c>
      <c r="I587" s="5">
        <f>pmsurya[[#This Row],[applications]]-pmsurya[[#This Row],[installations]]</f>
        <v>1176</v>
      </c>
      <c r="J587" s="6">
        <f>(pmsurya[[#This Row],[installations]]/pmsurya[[#This Row],[applications]])</f>
        <v>0.60786928976325438</v>
      </c>
    </row>
    <row r="588" spans="1:10" x14ac:dyDescent="0.3">
      <c r="A588" s="3" t="s">
        <v>605</v>
      </c>
      <c r="B588" t="str">
        <f>VLOOKUP(pmsurya[[#This Row],[state]],State!$A$2:$B$37,2,0)</f>
        <v xml:space="preserve"> Telangana</v>
      </c>
      <c r="C588" t="s">
        <v>629</v>
      </c>
      <c r="D588" s="5">
        <v>1650</v>
      </c>
      <c r="E588" s="5">
        <v>913</v>
      </c>
      <c r="F588" s="5">
        <v>913</v>
      </c>
      <c r="G588" s="5">
        <v>3169</v>
      </c>
      <c r="H588" s="4">
        <v>42664800</v>
      </c>
      <c r="I588" s="5">
        <f>pmsurya[[#This Row],[applications]]-pmsurya[[#This Row],[installations]]</f>
        <v>737</v>
      </c>
      <c r="J588" s="6">
        <f>(pmsurya[[#This Row],[installations]]/pmsurya[[#This Row],[applications]])</f>
        <v>0.55333333333333334</v>
      </c>
    </row>
    <row r="589" spans="1:10" x14ac:dyDescent="0.3">
      <c r="A589" s="3" t="s">
        <v>605</v>
      </c>
      <c r="B589" t="str">
        <f>VLOOKUP(pmsurya[[#This Row],[state]],State!$A$2:$B$37,2,0)</f>
        <v xml:space="preserve"> Telangana</v>
      </c>
      <c r="C589" t="s">
        <v>630</v>
      </c>
      <c r="D589" s="5">
        <v>376</v>
      </c>
      <c r="E589" s="5">
        <v>174</v>
      </c>
      <c r="F589" s="5">
        <v>174</v>
      </c>
      <c r="G589" s="5">
        <v>648</v>
      </c>
      <c r="H589" s="4">
        <v>10216200</v>
      </c>
      <c r="I589" s="5">
        <f>pmsurya[[#This Row],[applications]]-pmsurya[[#This Row],[installations]]</f>
        <v>202</v>
      </c>
      <c r="J589" s="6">
        <f>(pmsurya[[#This Row],[installations]]/pmsurya[[#This Row],[applications]])</f>
        <v>0.46276595744680848</v>
      </c>
    </row>
    <row r="590" spans="1:10" x14ac:dyDescent="0.3">
      <c r="A590" s="3" t="s">
        <v>605</v>
      </c>
      <c r="B590" t="str">
        <f>VLOOKUP(pmsurya[[#This Row],[state]],State!$A$2:$B$37,2,0)</f>
        <v xml:space="preserve"> Telangana</v>
      </c>
      <c r="C590" t="s">
        <v>631</v>
      </c>
      <c r="D590" s="5">
        <v>10409</v>
      </c>
      <c r="E590" s="5">
        <v>6753</v>
      </c>
      <c r="F590" s="5">
        <v>13003</v>
      </c>
      <c r="G590" s="5">
        <v>28877</v>
      </c>
      <c r="H590" s="4">
        <v>456895770</v>
      </c>
      <c r="I590" s="5">
        <f>pmsurya[[#This Row],[applications]]-pmsurya[[#This Row],[installations]]</f>
        <v>3656</v>
      </c>
      <c r="J590" s="6">
        <f>(pmsurya[[#This Row],[installations]]/pmsurya[[#This Row],[applications]])</f>
        <v>0.64876549140167161</v>
      </c>
    </row>
    <row r="591" spans="1:10" x14ac:dyDescent="0.3">
      <c r="A591" s="3" t="s">
        <v>605</v>
      </c>
      <c r="B591" t="str">
        <f>VLOOKUP(pmsurya[[#This Row],[state]],State!$A$2:$B$37,2,0)</f>
        <v xml:space="preserve"> Telangana</v>
      </c>
      <c r="C591" t="s">
        <v>632</v>
      </c>
      <c r="D591" s="5">
        <v>2184</v>
      </c>
      <c r="E591" s="5">
        <v>1406</v>
      </c>
      <c r="F591" s="5">
        <v>1406</v>
      </c>
      <c r="G591" s="5">
        <v>5576</v>
      </c>
      <c r="H591" s="4">
        <v>92167980</v>
      </c>
      <c r="I591" s="5">
        <f>pmsurya[[#This Row],[applications]]-pmsurya[[#This Row],[installations]]</f>
        <v>778</v>
      </c>
      <c r="J591" s="6">
        <f>(pmsurya[[#This Row],[installations]]/pmsurya[[#This Row],[applications]])</f>
        <v>0.64377289377289382</v>
      </c>
    </row>
    <row r="592" spans="1:10" x14ac:dyDescent="0.3">
      <c r="A592" s="3" t="s">
        <v>605</v>
      </c>
      <c r="B592" t="str">
        <f>VLOOKUP(pmsurya[[#This Row],[state]],State!$A$2:$B$37,2,0)</f>
        <v xml:space="preserve"> Telangana</v>
      </c>
      <c r="C592" t="s">
        <v>633</v>
      </c>
      <c r="D592" s="5">
        <v>1051</v>
      </c>
      <c r="E592" s="5">
        <v>631</v>
      </c>
      <c r="F592" s="5">
        <v>631</v>
      </c>
      <c r="G592" s="5">
        <v>2221</v>
      </c>
      <c r="H592" s="4">
        <v>34908780</v>
      </c>
      <c r="I592" s="5">
        <f>pmsurya[[#This Row],[applications]]-pmsurya[[#This Row],[installations]]</f>
        <v>420</v>
      </c>
      <c r="J592" s="6">
        <f>(pmsurya[[#This Row],[installations]]/pmsurya[[#This Row],[applications]])</f>
        <v>0.60038058991436727</v>
      </c>
    </row>
    <row r="593" spans="1:10" x14ac:dyDescent="0.3">
      <c r="A593" s="3" t="s">
        <v>605</v>
      </c>
      <c r="B593" t="str">
        <f>VLOOKUP(pmsurya[[#This Row],[state]],State!$A$2:$B$37,2,0)</f>
        <v xml:space="preserve"> Telangana</v>
      </c>
      <c r="C593" t="s">
        <v>634</v>
      </c>
      <c r="D593" s="5">
        <v>2440</v>
      </c>
      <c r="E593" s="5">
        <v>1526</v>
      </c>
      <c r="F593" s="5">
        <v>1550</v>
      </c>
      <c r="G593" s="5">
        <v>5319</v>
      </c>
      <c r="H593" s="4">
        <v>104076630</v>
      </c>
      <c r="I593" s="5">
        <f>pmsurya[[#This Row],[applications]]-pmsurya[[#This Row],[installations]]</f>
        <v>914</v>
      </c>
      <c r="J593" s="6">
        <f>(pmsurya[[#This Row],[installations]]/pmsurya[[#This Row],[applications]])</f>
        <v>0.62540983606557377</v>
      </c>
    </row>
    <row r="594" spans="1:10" x14ac:dyDescent="0.3">
      <c r="A594" s="3" t="s">
        <v>605</v>
      </c>
      <c r="B594" t="str">
        <f>VLOOKUP(pmsurya[[#This Row],[state]],State!$A$2:$B$37,2,0)</f>
        <v xml:space="preserve"> Telangana</v>
      </c>
      <c r="C594" t="s">
        <v>635</v>
      </c>
      <c r="D594" s="5">
        <v>2582</v>
      </c>
      <c r="E594" s="5">
        <v>1425</v>
      </c>
      <c r="F594" s="5">
        <v>1425</v>
      </c>
      <c r="G594" s="5">
        <v>3086</v>
      </c>
      <c r="H594" s="4">
        <v>8396100</v>
      </c>
      <c r="I594" s="5">
        <f>pmsurya[[#This Row],[applications]]-pmsurya[[#This Row],[installations]]</f>
        <v>1157</v>
      </c>
      <c r="J594" s="6">
        <f>(pmsurya[[#This Row],[installations]]/pmsurya[[#This Row],[applications]])</f>
        <v>0.55189775367931837</v>
      </c>
    </row>
    <row r="595" spans="1:10" x14ac:dyDescent="0.3">
      <c r="A595" s="3" t="s">
        <v>605</v>
      </c>
      <c r="B595" t="str">
        <f>VLOOKUP(pmsurya[[#This Row],[state]],State!$A$2:$B$37,2,0)</f>
        <v xml:space="preserve"> Telangana</v>
      </c>
      <c r="C595" t="s">
        <v>636</v>
      </c>
      <c r="D595" s="5">
        <v>394</v>
      </c>
      <c r="E595" s="5">
        <v>207</v>
      </c>
      <c r="F595" s="5">
        <v>207</v>
      </c>
      <c r="G595" s="5">
        <v>761</v>
      </c>
      <c r="H595" s="4">
        <v>13276200</v>
      </c>
      <c r="I595" s="5">
        <f>pmsurya[[#This Row],[applications]]-pmsurya[[#This Row],[installations]]</f>
        <v>187</v>
      </c>
      <c r="J595" s="6">
        <f>(pmsurya[[#This Row],[installations]]/pmsurya[[#This Row],[applications]])</f>
        <v>0.52538071065989844</v>
      </c>
    </row>
    <row r="596" spans="1:10" x14ac:dyDescent="0.3">
      <c r="A596" s="3" t="s">
        <v>605</v>
      </c>
      <c r="B596" t="str">
        <f>VLOOKUP(pmsurya[[#This Row],[state]],State!$A$2:$B$37,2,0)</f>
        <v xml:space="preserve"> Telangana</v>
      </c>
      <c r="C596" t="s">
        <v>637</v>
      </c>
      <c r="D596" s="5">
        <v>1981</v>
      </c>
      <c r="E596" s="5">
        <v>1160</v>
      </c>
      <c r="F596" s="5">
        <v>1248</v>
      </c>
      <c r="G596" s="5">
        <v>4211</v>
      </c>
      <c r="H596" s="4">
        <v>70918260</v>
      </c>
      <c r="I596" s="5">
        <f>pmsurya[[#This Row],[applications]]-pmsurya[[#This Row],[installations]]</f>
        <v>821</v>
      </c>
      <c r="J596" s="6">
        <f>(pmsurya[[#This Row],[installations]]/pmsurya[[#This Row],[applications]])</f>
        <v>0.58556284704694594</v>
      </c>
    </row>
    <row r="597" spans="1:10" x14ac:dyDescent="0.3">
      <c r="A597" s="3" t="s">
        <v>605</v>
      </c>
      <c r="B597" t="str">
        <f>VLOOKUP(pmsurya[[#This Row],[state]],State!$A$2:$B$37,2,0)</f>
        <v xml:space="preserve"> Telangana</v>
      </c>
      <c r="C597" t="s">
        <v>638</v>
      </c>
      <c r="D597" s="5">
        <v>770</v>
      </c>
      <c r="E597" s="5">
        <v>316</v>
      </c>
      <c r="F597" s="5">
        <v>316</v>
      </c>
      <c r="G597" s="5">
        <v>1107</v>
      </c>
      <c r="H597" s="4">
        <v>19017720</v>
      </c>
      <c r="I597" s="5">
        <f>pmsurya[[#This Row],[applications]]-pmsurya[[#This Row],[installations]]</f>
        <v>454</v>
      </c>
      <c r="J597" s="6">
        <f>(pmsurya[[#This Row],[installations]]/pmsurya[[#This Row],[applications]])</f>
        <v>0.41038961038961042</v>
      </c>
    </row>
    <row r="598" spans="1:10" x14ac:dyDescent="0.3">
      <c r="A598" s="3" t="s">
        <v>806</v>
      </c>
      <c r="B598" t="str">
        <f>VLOOKUP(pmsurya[[#This Row],[state]],State!$A$2:$B$37,2,0)</f>
        <v xml:space="preserve"> Ladakh</v>
      </c>
      <c r="C598" t="s">
        <v>807</v>
      </c>
      <c r="D598" s="5">
        <v>561</v>
      </c>
      <c r="E598" s="5">
        <v>262</v>
      </c>
      <c r="F598" s="5">
        <v>262</v>
      </c>
      <c r="G598" s="5">
        <v>836</v>
      </c>
      <c r="H598" s="4">
        <v>16302000</v>
      </c>
      <c r="I598" s="5">
        <f>pmsurya[[#This Row],[applications]]-pmsurya[[#This Row],[installations]]</f>
        <v>299</v>
      </c>
      <c r="J598" s="6">
        <f>(pmsurya[[#This Row],[installations]]/pmsurya[[#This Row],[applications]])</f>
        <v>0.46702317290552586</v>
      </c>
    </row>
    <row r="599" spans="1:10" x14ac:dyDescent="0.3">
      <c r="A599" s="3" t="s">
        <v>806</v>
      </c>
      <c r="B599" t="str">
        <f>VLOOKUP(pmsurya[[#This Row],[state]],State!$A$2:$B$37,2,0)</f>
        <v xml:space="preserve"> Ladakh</v>
      </c>
      <c r="C599" t="s">
        <v>808</v>
      </c>
      <c r="D599" s="5">
        <v>1722</v>
      </c>
      <c r="E599" s="5">
        <v>1574</v>
      </c>
      <c r="F599" s="5">
        <v>1574</v>
      </c>
      <c r="G599" s="5">
        <v>5258</v>
      </c>
      <c r="H599" s="4">
        <v>124822764</v>
      </c>
      <c r="I599" s="5">
        <f>pmsurya[[#This Row],[applications]]-pmsurya[[#This Row],[installations]]</f>
        <v>148</v>
      </c>
      <c r="J599" s="6">
        <f>(pmsurya[[#This Row],[installations]]/pmsurya[[#This Row],[applications]])</f>
        <v>0.91405342624854824</v>
      </c>
    </row>
    <row r="600" spans="1:10" x14ac:dyDescent="0.3">
      <c r="A600" s="3" t="s">
        <v>809</v>
      </c>
      <c r="B600" t="str">
        <f>VLOOKUP(pmsurya[[#This Row],[state]],State!$A$2:$B$37,2,0)</f>
        <v xml:space="preserve"> Dadra and Nagar Haveli and Daman and Diu</v>
      </c>
      <c r="C600" t="s">
        <v>810</v>
      </c>
      <c r="D600" s="5">
        <v>1936</v>
      </c>
      <c r="E600" s="5">
        <v>551</v>
      </c>
      <c r="F600" s="5">
        <v>551</v>
      </c>
      <c r="G600" s="5">
        <v>1081</v>
      </c>
      <c r="H600" s="4">
        <v>17928000</v>
      </c>
      <c r="I600" s="5">
        <f>pmsurya[[#This Row],[applications]]-pmsurya[[#This Row],[installations]]</f>
        <v>1385</v>
      </c>
      <c r="J600" s="6">
        <f>(pmsurya[[#This Row],[installations]]/pmsurya[[#This Row],[applications]])</f>
        <v>0.28460743801652894</v>
      </c>
    </row>
    <row r="601" spans="1:10" x14ac:dyDescent="0.3">
      <c r="A601" s="3" t="s">
        <v>809</v>
      </c>
      <c r="B601" t="str">
        <f>VLOOKUP(pmsurya[[#This Row],[state]],State!$A$2:$B$37,2,0)</f>
        <v xml:space="preserve"> Dadra and Nagar Haveli and Daman and Diu</v>
      </c>
      <c r="C601" t="s">
        <v>811</v>
      </c>
      <c r="D601" s="5">
        <v>508</v>
      </c>
      <c r="E601" s="5">
        <v>315</v>
      </c>
      <c r="F601" s="5">
        <v>315</v>
      </c>
      <c r="G601" s="5">
        <v>1205</v>
      </c>
      <c r="H601" s="4">
        <v>22890600</v>
      </c>
      <c r="I601" s="5">
        <f>pmsurya[[#This Row],[applications]]-pmsurya[[#This Row],[installations]]</f>
        <v>193</v>
      </c>
      <c r="J601" s="6">
        <f>(pmsurya[[#This Row],[installations]]/pmsurya[[#This Row],[applications]])</f>
        <v>0.62007874015748032</v>
      </c>
    </row>
    <row r="602" spans="1:10" x14ac:dyDescent="0.3">
      <c r="A602" s="3" t="s">
        <v>809</v>
      </c>
      <c r="B602" t="str">
        <f>VLOOKUP(pmsurya[[#This Row],[state]],State!$A$2:$B$37,2,0)</f>
        <v xml:space="preserve"> Dadra and Nagar Haveli and Daman and Diu</v>
      </c>
      <c r="C602" t="s">
        <v>812</v>
      </c>
      <c r="D602" s="5">
        <v>176</v>
      </c>
      <c r="E602" s="5">
        <v>117</v>
      </c>
      <c r="F602" s="5">
        <v>117</v>
      </c>
      <c r="G602" s="5">
        <v>481</v>
      </c>
      <c r="H602" s="4">
        <v>8982210</v>
      </c>
      <c r="I602" s="5">
        <f>pmsurya[[#This Row],[applications]]-pmsurya[[#This Row],[installations]]</f>
        <v>59</v>
      </c>
      <c r="J602" s="6">
        <f>(pmsurya[[#This Row],[installations]]/pmsurya[[#This Row],[applications]])</f>
        <v>0.66477272727272729</v>
      </c>
    </row>
    <row r="603" spans="1:10" x14ac:dyDescent="0.3">
      <c r="A603" s="3" t="s">
        <v>764</v>
      </c>
      <c r="B603" t="str">
        <f>VLOOKUP(pmsurya[[#This Row],[state]],State!$A$2:$B$37,2,0)</f>
        <v xml:space="preserve"> Chandigarh</v>
      </c>
      <c r="C603" t="s">
        <v>765</v>
      </c>
      <c r="D603" s="5">
        <v>1701</v>
      </c>
      <c r="E603" s="5">
        <v>1277</v>
      </c>
      <c r="F603" s="5">
        <v>1277</v>
      </c>
      <c r="G603" s="5">
        <v>5093</v>
      </c>
      <c r="H603" s="4">
        <v>77167350</v>
      </c>
      <c r="I603" s="5">
        <f>pmsurya[[#This Row],[applications]]-pmsurya[[#This Row],[installations]]</f>
        <v>424</v>
      </c>
      <c r="J603" s="6">
        <f>(pmsurya[[#This Row],[installations]]/pmsurya[[#This Row],[applications]])</f>
        <v>0.75073486184597293</v>
      </c>
    </row>
    <row r="604" spans="1:10" x14ac:dyDescent="0.3">
      <c r="A604" s="3" t="s">
        <v>722</v>
      </c>
      <c r="B604" t="str">
        <f>VLOOKUP(pmsurya[[#This Row],[state]],State!$A$2:$B$37,2,0)</f>
        <v xml:space="preserve"> Uttarakhand</v>
      </c>
      <c r="C604" t="s">
        <v>723</v>
      </c>
      <c r="D604" s="5">
        <v>1782</v>
      </c>
      <c r="E604" s="5">
        <v>1228</v>
      </c>
      <c r="F604" s="5">
        <v>1228</v>
      </c>
      <c r="G604" s="5">
        <v>4267</v>
      </c>
      <c r="H604" s="4">
        <v>96900804</v>
      </c>
      <c r="I604" s="5">
        <f>pmsurya[[#This Row],[applications]]-pmsurya[[#This Row],[installations]]</f>
        <v>554</v>
      </c>
      <c r="J604" s="6">
        <f>(pmsurya[[#This Row],[installations]]/pmsurya[[#This Row],[applications]])</f>
        <v>0.68911335578002242</v>
      </c>
    </row>
    <row r="605" spans="1:10" x14ac:dyDescent="0.3">
      <c r="A605" s="3" t="s">
        <v>722</v>
      </c>
      <c r="B605" t="str">
        <f>VLOOKUP(pmsurya[[#This Row],[state]],State!$A$2:$B$37,2,0)</f>
        <v xml:space="preserve"> Uttarakhand</v>
      </c>
      <c r="C605" t="s">
        <v>724</v>
      </c>
      <c r="D605" s="5">
        <v>498</v>
      </c>
      <c r="E605" s="5">
        <v>294</v>
      </c>
      <c r="F605" s="5">
        <v>294</v>
      </c>
      <c r="G605" s="5">
        <v>1061</v>
      </c>
      <c r="H605" s="4">
        <v>22644765</v>
      </c>
      <c r="I605" s="5">
        <f>pmsurya[[#This Row],[applications]]-pmsurya[[#This Row],[installations]]</f>
        <v>204</v>
      </c>
      <c r="J605" s="6">
        <f>(pmsurya[[#This Row],[installations]]/pmsurya[[#This Row],[applications]])</f>
        <v>0.59036144578313254</v>
      </c>
    </row>
    <row r="606" spans="1:10" x14ac:dyDescent="0.3">
      <c r="A606" s="3" t="s">
        <v>722</v>
      </c>
      <c r="B606" t="str">
        <f>VLOOKUP(pmsurya[[#This Row],[state]],State!$A$2:$B$37,2,0)</f>
        <v xml:space="preserve"> Uttarakhand</v>
      </c>
      <c r="C606" t="s">
        <v>725</v>
      </c>
      <c r="D606" s="5">
        <v>901</v>
      </c>
      <c r="E606" s="5">
        <v>489</v>
      </c>
      <c r="F606" s="5">
        <v>489</v>
      </c>
      <c r="G606" s="5">
        <v>1672</v>
      </c>
      <c r="H606" s="4">
        <v>32658714</v>
      </c>
      <c r="I606" s="5">
        <f>pmsurya[[#This Row],[applications]]-pmsurya[[#This Row],[installations]]</f>
        <v>412</v>
      </c>
      <c r="J606" s="6">
        <f>(pmsurya[[#This Row],[installations]]/pmsurya[[#This Row],[applications]])</f>
        <v>0.54273029966703668</v>
      </c>
    </row>
    <row r="607" spans="1:10" x14ac:dyDescent="0.3">
      <c r="A607" s="3" t="s">
        <v>722</v>
      </c>
      <c r="B607" t="str">
        <f>VLOOKUP(pmsurya[[#This Row],[state]],State!$A$2:$B$37,2,0)</f>
        <v xml:space="preserve"> Uttarakhand</v>
      </c>
      <c r="C607" t="s">
        <v>726</v>
      </c>
      <c r="D607" s="5">
        <v>1933</v>
      </c>
      <c r="E607" s="5">
        <v>1502</v>
      </c>
      <c r="F607" s="5">
        <v>1502</v>
      </c>
      <c r="G607" s="5">
        <v>5227</v>
      </c>
      <c r="H607" s="4">
        <v>113250555</v>
      </c>
      <c r="I607" s="5">
        <f>pmsurya[[#This Row],[applications]]-pmsurya[[#This Row],[installations]]</f>
        <v>431</v>
      </c>
      <c r="J607" s="6">
        <f>(pmsurya[[#This Row],[installations]]/pmsurya[[#This Row],[applications]])</f>
        <v>0.77703052250387994</v>
      </c>
    </row>
    <row r="608" spans="1:10" x14ac:dyDescent="0.3">
      <c r="A608" s="3" t="s">
        <v>722</v>
      </c>
      <c r="B608" t="str">
        <f>VLOOKUP(pmsurya[[#This Row],[state]],State!$A$2:$B$37,2,0)</f>
        <v xml:space="preserve"> Uttarakhand</v>
      </c>
      <c r="C608" t="s">
        <v>727</v>
      </c>
      <c r="D608" s="5">
        <v>43174</v>
      </c>
      <c r="E608" s="5">
        <v>30666</v>
      </c>
      <c r="F608" s="5">
        <v>30990</v>
      </c>
      <c r="G608" s="5">
        <v>114638</v>
      </c>
      <c r="H608" s="4">
        <v>2354310281</v>
      </c>
      <c r="I608" s="5">
        <f>pmsurya[[#This Row],[applications]]-pmsurya[[#This Row],[installations]]</f>
        <v>12508</v>
      </c>
      <c r="J608" s="6">
        <f>(pmsurya[[#This Row],[installations]]/pmsurya[[#This Row],[applications]])</f>
        <v>0.71028859962014179</v>
      </c>
    </row>
    <row r="609" spans="1:10" x14ac:dyDescent="0.3">
      <c r="A609" s="3" t="s">
        <v>722</v>
      </c>
      <c r="B609" t="str">
        <f>VLOOKUP(pmsurya[[#This Row],[state]],State!$A$2:$B$37,2,0)</f>
        <v xml:space="preserve"> Uttarakhand</v>
      </c>
      <c r="C609" t="s">
        <v>728</v>
      </c>
      <c r="D609" s="5">
        <v>24641</v>
      </c>
      <c r="E609" s="5">
        <v>13686</v>
      </c>
      <c r="F609" s="5">
        <v>13690</v>
      </c>
      <c r="G609" s="5">
        <v>48133</v>
      </c>
      <c r="H609" s="4">
        <v>1013359347</v>
      </c>
      <c r="I609" s="5">
        <f>pmsurya[[#This Row],[applications]]-pmsurya[[#This Row],[installations]]</f>
        <v>10955</v>
      </c>
      <c r="J609" s="6">
        <f>(pmsurya[[#This Row],[installations]]/pmsurya[[#This Row],[applications]])</f>
        <v>0.55541577046386104</v>
      </c>
    </row>
    <row r="610" spans="1:10" x14ac:dyDescent="0.3">
      <c r="A610" s="3" t="s">
        <v>722</v>
      </c>
      <c r="B610" t="str">
        <f>VLOOKUP(pmsurya[[#This Row],[state]],State!$A$2:$B$37,2,0)</f>
        <v xml:space="preserve"> Uttarakhand</v>
      </c>
      <c r="C610" t="s">
        <v>729</v>
      </c>
      <c r="D610" s="5">
        <v>18919</v>
      </c>
      <c r="E610" s="5">
        <v>13903</v>
      </c>
      <c r="F610" s="5">
        <v>13903</v>
      </c>
      <c r="G610" s="5">
        <v>50459</v>
      </c>
      <c r="H610" s="4">
        <v>1090449254</v>
      </c>
      <c r="I610" s="5">
        <f>pmsurya[[#This Row],[applications]]-pmsurya[[#This Row],[installations]]</f>
        <v>5016</v>
      </c>
      <c r="J610" s="6">
        <f>(pmsurya[[#This Row],[installations]]/pmsurya[[#This Row],[applications]])</f>
        <v>0.73486970770125271</v>
      </c>
    </row>
    <row r="611" spans="1:10" x14ac:dyDescent="0.3">
      <c r="A611" s="3" t="s">
        <v>722</v>
      </c>
      <c r="B611" t="str">
        <f>VLOOKUP(pmsurya[[#This Row],[state]],State!$A$2:$B$37,2,0)</f>
        <v xml:space="preserve"> Uttarakhand</v>
      </c>
      <c r="C611" t="s">
        <v>730</v>
      </c>
      <c r="D611" s="5">
        <v>7914</v>
      </c>
      <c r="E611" s="5">
        <v>5860</v>
      </c>
      <c r="F611" s="5">
        <v>5860</v>
      </c>
      <c r="G611" s="5">
        <v>20738</v>
      </c>
      <c r="H611" s="4">
        <v>459562481</v>
      </c>
      <c r="I611" s="5">
        <f>pmsurya[[#This Row],[applications]]-pmsurya[[#This Row],[installations]]</f>
        <v>2054</v>
      </c>
      <c r="J611" s="6">
        <f>(pmsurya[[#This Row],[installations]]/pmsurya[[#This Row],[applications]])</f>
        <v>0.74045994440232499</v>
      </c>
    </row>
    <row r="612" spans="1:10" x14ac:dyDescent="0.3">
      <c r="A612" s="3" t="s">
        <v>722</v>
      </c>
      <c r="B612" t="str">
        <f>VLOOKUP(pmsurya[[#This Row],[state]],State!$A$2:$B$37,2,0)</f>
        <v xml:space="preserve"> Uttarakhand</v>
      </c>
      <c r="C612" t="s">
        <v>731</v>
      </c>
      <c r="D612" s="5">
        <v>1277</v>
      </c>
      <c r="E612" s="5">
        <v>956</v>
      </c>
      <c r="F612" s="5">
        <v>956</v>
      </c>
      <c r="G612" s="5">
        <v>3357</v>
      </c>
      <c r="H612" s="4">
        <v>73788000</v>
      </c>
      <c r="I612" s="5">
        <f>pmsurya[[#This Row],[applications]]-pmsurya[[#This Row],[installations]]</f>
        <v>321</v>
      </c>
      <c r="J612" s="6">
        <f>(pmsurya[[#This Row],[installations]]/pmsurya[[#This Row],[applications]])</f>
        <v>0.74862960062646833</v>
      </c>
    </row>
    <row r="613" spans="1:10" x14ac:dyDescent="0.3">
      <c r="A613" s="3" t="s">
        <v>722</v>
      </c>
      <c r="B613" t="str">
        <f>VLOOKUP(pmsurya[[#This Row],[state]],State!$A$2:$B$37,2,0)</f>
        <v xml:space="preserve"> Uttarakhand</v>
      </c>
      <c r="C613" t="s">
        <v>732</v>
      </c>
      <c r="D613" s="5">
        <v>198</v>
      </c>
      <c r="E613" s="5">
        <v>136</v>
      </c>
      <c r="F613" s="5">
        <v>136</v>
      </c>
      <c r="G613" s="5">
        <v>443</v>
      </c>
      <c r="H613" s="4">
        <v>9956232</v>
      </c>
      <c r="I613" s="5">
        <f>pmsurya[[#This Row],[applications]]-pmsurya[[#This Row],[installations]]</f>
        <v>62</v>
      </c>
      <c r="J613" s="6">
        <f>(pmsurya[[#This Row],[installations]]/pmsurya[[#This Row],[applications]])</f>
        <v>0.68686868686868685</v>
      </c>
    </row>
    <row r="614" spans="1:10" x14ac:dyDescent="0.3">
      <c r="A614" s="3" t="s">
        <v>722</v>
      </c>
      <c r="B614" t="str">
        <f>VLOOKUP(pmsurya[[#This Row],[state]],State!$A$2:$B$37,2,0)</f>
        <v xml:space="preserve"> Uttarakhand</v>
      </c>
      <c r="C614" t="s">
        <v>733</v>
      </c>
      <c r="D614" s="5">
        <v>2628</v>
      </c>
      <c r="E614" s="5">
        <v>1820</v>
      </c>
      <c r="F614" s="5">
        <v>1820</v>
      </c>
      <c r="G614" s="5">
        <v>6359</v>
      </c>
      <c r="H614" s="4">
        <v>146153007</v>
      </c>
      <c r="I614" s="5">
        <f>pmsurya[[#This Row],[applications]]-pmsurya[[#This Row],[installations]]</f>
        <v>808</v>
      </c>
      <c r="J614" s="6">
        <f>(pmsurya[[#This Row],[installations]]/pmsurya[[#This Row],[applications]])</f>
        <v>0.69254185692541859</v>
      </c>
    </row>
    <row r="615" spans="1:10" x14ac:dyDescent="0.3">
      <c r="A615" s="3" t="s">
        <v>722</v>
      </c>
      <c r="B615" t="str">
        <f>VLOOKUP(pmsurya[[#This Row],[state]],State!$A$2:$B$37,2,0)</f>
        <v xml:space="preserve"> Uttarakhand</v>
      </c>
      <c r="C615" t="s">
        <v>734</v>
      </c>
      <c r="D615" s="5">
        <v>29228</v>
      </c>
      <c r="E615" s="5">
        <v>16776</v>
      </c>
      <c r="F615" s="5">
        <v>16804</v>
      </c>
      <c r="G615" s="5">
        <v>58521</v>
      </c>
      <c r="H615" s="4">
        <v>1265610258</v>
      </c>
      <c r="I615" s="5">
        <f>pmsurya[[#This Row],[applications]]-pmsurya[[#This Row],[installations]]</f>
        <v>12452</v>
      </c>
      <c r="J615" s="6">
        <f>(pmsurya[[#This Row],[installations]]/pmsurya[[#This Row],[applications]])</f>
        <v>0.57397016559463532</v>
      </c>
    </row>
    <row r="616" spans="1:10" x14ac:dyDescent="0.3">
      <c r="A616" s="3" t="s">
        <v>722</v>
      </c>
      <c r="B616" t="str">
        <f>VLOOKUP(pmsurya[[#This Row],[state]],State!$A$2:$B$37,2,0)</f>
        <v xml:space="preserve"> Uttarakhand</v>
      </c>
      <c r="C616" t="s">
        <v>735</v>
      </c>
      <c r="D616" s="5">
        <v>1655</v>
      </c>
      <c r="E616" s="5">
        <v>888</v>
      </c>
      <c r="F616" s="5">
        <v>888</v>
      </c>
      <c r="G616" s="5">
        <v>3187</v>
      </c>
      <c r="H616" s="4">
        <v>66310002</v>
      </c>
      <c r="I616" s="5">
        <f>pmsurya[[#This Row],[applications]]-pmsurya[[#This Row],[installations]]</f>
        <v>767</v>
      </c>
      <c r="J616" s="6">
        <f>(pmsurya[[#This Row],[installations]]/pmsurya[[#This Row],[applications]])</f>
        <v>0.53655589123867065</v>
      </c>
    </row>
    <row r="617" spans="1:10" x14ac:dyDescent="0.3">
      <c r="A617" s="3" t="s">
        <v>199</v>
      </c>
      <c r="B617" t="str">
        <f>VLOOKUP(pmsurya[[#This Row],[state]],State!$A$2:$B$37,2,0)</f>
        <v xml:space="preserve"> Haryana</v>
      </c>
      <c r="C617" t="s">
        <v>200</v>
      </c>
      <c r="D617" s="5">
        <v>10263</v>
      </c>
      <c r="E617" s="5">
        <v>6829</v>
      </c>
      <c r="F617" s="5">
        <v>7370</v>
      </c>
      <c r="G617" s="5">
        <v>23189</v>
      </c>
      <c r="H617" s="4">
        <v>423852630</v>
      </c>
      <c r="I617" s="5">
        <f>pmsurya[[#This Row],[applications]]-pmsurya[[#This Row],[installations]]</f>
        <v>3434</v>
      </c>
      <c r="J617" s="6">
        <f>(pmsurya[[#This Row],[installations]]/pmsurya[[#This Row],[applications]])</f>
        <v>0.66539998051252069</v>
      </c>
    </row>
    <row r="618" spans="1:10" x14ac:dyDescent="0.3">
      <c r="A618" s="3" t="s">
        <v>199</v>
      </c>
      <c r="B618" t="str">
        <f>VLOOKUP(pmsurya[[#This Row],[state]],State!$A$2:$B$37,2,0)</f>
        <v xml:space="preserve"> Haryana</v>
      </c>
      <c r="C618" t="s">
        <v>201</v>
      </c>
      <c r="D618" s="5">
        <v>7497</v>
      </c>
      <c r="E618" s="5">
        <v>3394</v>
      </c>
      <c r="F618" s="5">
        <v>3394</v>
      </c>
      <c r="G618" s="5">
        <v>10223</v>
      </c>
      <c r="H618" s="4">
        <v>202367010</v>
      </c>
      <c r="I618" s="5">
        <f>pmsurya[[#This Row],[applications]]-pmsurya[[#This Row],[installations]]</f>
        <v>4103</v>
      </c>
      <c r="J618" s="6">
        <f>(pmsurya[[#This Row],[installations]]/pmsurya[[#This Row],[applications]])</f>
        <v>0.45271441910097371</v>
      </c>
    </row>
    <row r="619" spans="1:10" x14ac:dyDescent="0.3">
      <c r="A619" s="3" t="s">
        <v>199</v>
      </c>
      <c r="B619" t="str">
        <f>VLOOKUP(pmsurya[[#This Row],[state]],State!$A$2:$B$37,2,0)</f>
        <v xml:space="preserve"> Haryana</v>
      </c>
      <c r="C619" t="s">
        <v>202</v>
      </c>
      <c r="D619" s="5">
        <v>1414</v>
      </c>
      <c r="E619" s="5">
        <v>461</v>
      </c>
      <c r="F619" s="5">
        <v>461</v>
      </c>
      <c r="G619" s="5">
        <v>1253</v>
      </c>
      <c r="H619" s="4">
        <v>30599610</v>
      </c>
      <c r="I619" s="5">
        <f>pmsurya[[#This Row],[applications]]-pmsurya[[#This Row],[installations]]</f>
        <v>953</v>
      </c>
      <c r="J619" s="6">
        <f>(pmsurya[[#This Row],[installations]]/pmsurya[[#This Row],[applications]])</f>
        <v>0.32602545968882601</v>
      </c>
    </row>
    <row r="620" spans="1:10" x14ac:dyDescent="0.3">
      <c r="A620" s="3" t="s">
        <v>199</v>
      </c>
      <c r="B620" t="str">
        <f>VLOOKUP(pmsurya[[#This Row],[state]],State!$A$2:$B$37,2,0)</f>
        <v xml:space="preserve"> Haryana</v>
      </c>
      <c r="C620" t="s">
        <v>203</v>
      </c>
      <c r="D620" s="5">
        <v>4799</v>
      </c>
      <c r="E620" s="5">
        <v>1920</v>
      </c>
      <c r="F620" s="5">
        <v>1994</v>
      </c>
      <c r="G620" s="5">
        <v>6956</v>
      </c>
      <c r="H620" s="4">
        <v>111908250</v>
      </c>
      <c r="I620" s="5">
        <f>pmsurya[[#This Row],[applications]]-pmsurya[[#This Row],[installations]]</f>
        <v>2879</v>
      </c>
      <c r="J620" s="6">
        <f>(pmsurya[[#This Row],[installations]]/pmsurya[[#This Row],[applications]])</f>
        <v>0.40008335069806211</v>
      </c>
    </row>
    <row r="621" spans="1:10" x14ac:dyDescent="0.3">
      <c r="A621" s="3" t="s">
        <v>199</v>
      </c>
      <c r="B621" t="str">
        <f>VLOOKUP(pmsurya[[#This Row],[state]],State!$A$2:$B$37,2,0)</f>
        <v xml:space="preserve"> Haryana</v>
      </c>
      <c r="C621" t="s">
        <v>204</v>
      </c>
      <c r="D621" s="5">
        <v>9565</v>
      </c>
      <c r="E621" s="5">
        <v>4598</v>
      </c>
      <c r="F621" s="5">
        <v>4598</v>
      </c>
      <c r="G621" s="5">
        <v>15379</v>
      </c>
      <c r="H621" s="4">
        <v>286957140</v>
      </c>
      <c r="I621" s="5">
        <f>pmsurya[[#This Row],[applications]]-pmsurya[[#This Row],[installations]]</f>
        <v>4967</v>
      </c>
      <c r="J621" s="6">
        <f>(pmsurya[[#This Row],[installations]]/pmsurya[[#This Row],[applications]])</f>
        <v>0.48071092524830111</v>
      </c>
    </row>
    <row r="622" spans="1:10" x14ac:dyDescent="0.3">
      <c r="A622" s="3" t="s">
        <v>199</v>
      </c>
      <c r="B622" t="str">
        <f>VLOOKUP(pmsurya[[#This Row],[state]],State!$A$2:$B$37,2,0)</f>
        <v xml:space="preserve"> Haryana</v>
      </c>
      <c r="C622" t="s">
        <v>205</v>
      </c>
      <c r="D622" s="5">
        <v>8321</v>
      </c>
      <c r="E622" s="5">
        <v>5116</v>
      </c>
      <c r="F622" s="5">
        <v>5415</v>
      </c>
      <c r="G622" s="5">
        <v>23830</v>
      </c>
      <c r="H622" s="4">
        <v>298843170</v>
      </c>
      <c r="I622" s="5">
        <f>pmsurya[[#This Row],[applications]]-pmsurya[[#This Row],[installations]]</f>
        <v>3205</v>
      </c>
      <c r="J622" s="6">
        <f>(pmsurya[[#This Row],[installations]]/pmsurya[[#This Row],[applications]])</f>
        <v>0.61482994832351878</v>
      </c>
    </row>
    <row r="623" spans="1:10" x14ac:dyDescent="0.3">
      <c r="A623" s="3" t="s">
        <v>199</v>
      </c>
      <c r="B623" t="str">
        <f>VLOOKUP(pmsurya[[#This Row],[state]],State!$A$2:$B$37,2,0)</f>
        <v xml:space="preserve"> Haryana</v>
      </c>
      <c r="C623" t="s">
        <v>206</v>
      </c>
      <c r="D623" s="5">
        <v>13677</v>
      </c>
      <c r="E623" s="5">
        <v>6271</v>
      </c>
      <c r="F623" s="5">
        <v>6271</v>
      </c>
      <c r="G623" s="5">
        <v>21179</v>
      </c>
      <c r="H623" s="4">
        <v>379956330</v>
      </c>
      <c r="I623" s="5">
        <f>pmsurya[[#This Row],[applications]]-pmsurya[[#This Row],[installations]]</f>
        <v>7406</v>
      </c>
      <c r="J623" s="6">
        <f>(pmsurya[[#This Row],[installations]]/pmsurya[[#This Row],[applications]])</f>
        <v>0.45850698252540761</v>
      </c>
    </row>
    <row r="624" spans="1:10" x14ac:dyDescent="0.3">
      <c r="A624" s="3" t="s">
        <v>199</v>
      </c>
      <c r="B624" t="str">
        <f>VLOOKUP(pmsurya[[#This Row],[state]],State!$A$2:$B$37,2,0)</f>
        <v xml:space="preserve"> Haryana</v>
      </c>
      <c r="C624" t="s">
        <v>207</v>
      </c>
      <c r="D624" s="5">
        <v>6045</v>
      </c>
      <c r="E624" s="5">
        <v>3430</v>
      </c>
      <c r="F624" s="5">
        <v>3430</v>
      </c>
      <c r="G624" s="5">
        <v>10996</v>
      </c>
      <c r="H624" s="4">
        <v>197539092</v>
      </c>
      <c r="I624" s="5">
        <f>pmsurya[[#This Row],[applications]]-pmsurya[[#This Row],[installations]]</f>
        <v>2615</v>
      </c>
      <c r="J624" s="6">
        <f>(pmsurya[[#This Row],[installations]]/pmsurya[[#This Row],[applications]])</f>
        <v>0.56741108354011582</v>
      </c>
    </row>
    <row r="625" spans="1:10" x14ac:dyDescent="0.3">
      <c r="A625" s="3" t="s">
        <v>199</v>
      </c>
      <c r="B625" t="str">
        <f>VLOOKUP(pmsurya[[#This Row],[state]],State!$A$2:$B$37,2,0)</f>
        <v xml:space="preserve"> Haryana</v>
      </c>
      <c r="C625" t="s">
        <v>208</v>
      </c>
      <c r="D625" s="5">
        <v>6560</v>
      </c>
      <c r="E625" s="5">
        <v>2550</v>
      </c>
      <c r="F625" s="5">
        <v>2799</v>
      </c>
      <c r="G625" s="5">
        <v>7449</v>
      </c>
      <c r="H625" s="4">
        <v>145185450</v>
      </c>
      <c r="I625" s="5">
        <f>pmsurya[[#This Row],[applications]]-pmsurya[[#This Row],[installations]]</f>
        <v>4010</v>
      </c>
      <c r="J625" s="6">
        <f>(pmsurya[[#This Row],[installations]]/pmsurya[[#This Row],[applications]])</f>
        <v>0.38871951219512196</v>
      </c>
    </row>
    <row r="626" spans="1:10" x14ac:dyDescent="0.3">
      <c r="A626" s="3" t="s">
        <v>199</v>
      </c>
      <c r="B626" t="str">
        <f>VLOOKUP(pmsurya[[#This Row],[state]],State!$A$2:$B$37,2,0)</f>
        <v xml:space="preserve"> Haryana</v>
      </c>
      <c r="C626" t="s">
        <v>209</v>
      </c>
      <c r="D626" s="5">
        <v>10689</v>
      </c>
      <c r="E626" s="5">
        <v>6450</v>
      </c>
      <c r="F626" s="5">
        <v>7678</v>
      </c>
      <c r="G626" s="5">
        <v>17413</v>
      </c>
      <c r="H626" s="4">
        <v>354647730</v>
      </c>
      <c r="I626" s="5">
        <f>pmsurya[[#This Row],[applications]]-pmsurya[[#This Row],[installations]]</f>
        <v>4239</v>
      </c>
      <c r="J626" s="6">
        <f>(pmsurya[[#This Row],[installations]]/pmsurya[[#This Row],[applications]])</f>
        <v>0.6034240808307606</v>
      </c>
    </row>
    <row r="627" spans="1:10" x14ac:dyDescent="0.3">
      <c r="A627" s="3" t="s">
        <v>199</v>
      </c>
      <c r="B627" t="str">
        <f>VLOOKUP(pmsurya[[#This Row],[state]],State!$A$2:$B$37,2,0)</f>
        <v xml:space="preserve"> Haryana</v>
      </c>
      <c r="C627" t="s">
        <v>210</v>
      </c>
      <c r="D627" s="5">
        <v>11833</v>
      </c>
      <c r="E627" s="5">
        <v>6197</v>
      </c>
      <c r="F627" s="5">
        <v>6234</v>
      </c>
      <c r="G627" s="5">
        <v>20425</v>
      </c>
      <c r="H627" s="4">
        <v>381772290</v>
      </c>
      <c r="I627" s="5">
        <f>pmsurya[[#This Row],[applications]]-pmsurya[[#This Row],[installations]]</f>
        <v>5636</v>
      </c>
      <c r="J627" s="6">
        <f>(pmsurya[[#This Row],[installations]]/pmsurya[[#This Row],[applications]])</f>
        <v>0.5237048930955801</v>
      </c>
    </row>
    <row r="628" spans="1:10" x14ac:dyDescent="0.3">
      <c r="A628" s="3" t="s">
        <v>199</v>
      </c>
      <c r="B628" t="str">
        <f>VLOOKUP(pmsurya[[#This Row],[state]],State!$A$2:$B$37,2,0)</f>
        <v xml:space="preserve"> Haryana</v>
      </c>
      <c r="C628" t="s">
        <v>211</v>
      </c>
      <c r="D628" s="5">
        <v>11145</v>
      </c>
      <c r="E628" s="5">
        <v>7228</v>
      </c>
      <c r="F628" s="5">
        <v>7726</v>
      </c>
      <c r="G628" s="5">
        <v>24563</v>
      </c>
      <c r="H628" s="4">
        <v>438523500</v>
      </c>
      <c r="I628" s="5">
        <f>pmsurya[[#This Row],[applications]]-pmsurya[[#This Row],[installations]]</f>
        <v>3917</v>
      </c>
      <c r="J628" s="6">
        <f>(pmsurya[[#This Row],[installations]]/pmsurya[[#This Row],[applications]])</f>
        <v>0.64854194706146251</v>
      </c>
    </row>
    <row r="629" spans="1:10" x14ac:dyDescent="0.3">
      <c r="A629" s="3" t="s">
        <v>199</v>
      </c>
      <c r="B629" t="str">
        <f>VLOOKUP(pmsurya[[#This Row],[state]],State!$A$2:$B$37,2,0)</f>
        <v xml:space="preserve"> Haryana</v>
      </c>
      <c r="C629" t="s">
        <v>212</v>
      </c>
      <c r="D629" s="5">
        <v>5070</v>
      </c>
      <c r="E629" s="5">
        <v>2180</v>
      </c>
      <c r="F629" s="5">
        <v>2180</v>
      </c>
      <c r="G629" s="5">
        <v>6365</v>
      </c>
      <c r="H629" s="4">
        <v>120452550</v>
      </c>
      <c r="I629" s="5">
        <f>pmsurya[[#This Row],[applications]]-pmsurya[[#This Row],[installations]]</f>
        <v>2890</v>
      </c>
      <c r="J629" s="6">
        <f>(pmsurya[[#This Row],[installations]]/pmsurya[[#This Row],[applications]])</f>
        <v>0.42998027613412226</v>
      </c>
    </row>
    <row r="630" spans="1:10" x14ac:dyDescent="0.3">
      <c r="A630" s="3" t="s">
        <v>199</v>
      </c>
      <c r="B630" t="str">
        <f>VLOOKUP(pmsurya[[#This Row],[state]],State!$A$2:$B$37,2,0)</f>
        <v xml:space="preserve"> Haryana</v>
      </c>
      <c r="C630" t="s">
        <v>213</v>
      </c>
      <c r="D630" s="5">
        <v>1167</v>
      </c>
      <c r="E630" s="5">
        <v>337</v>
      </c>
      <c r="F630" s="5">
        <v>337</v>
      </c>
      <c r="G630" s="5">
        <v>883</v>
      </c>
      <c r="H630" s="4">
        <v>20958870</v>
      </c>
      <c r="I630" s="5">
        <f>pmsurya[[#This Row],[applications]]-pmsurya[[#This Row],[installations]]</f>
        <v>830</v>
      </c>
      <c r="J630" s="6">
        <f>(pmsurya[[#This Row],[installations]]/pmsurya[[#This Row],[applications]])</f>
        <v>0.28877463581833762</v>
      </c>
    </row>
    <row r="631" spans="1:10" x14ac:dyDescent="0.3">
      <c r="A631" s="3" t="s">
        <v>199</v>
      </c>
      <c r="B631" t="str">
        <f>VLOOKUP(pmsurya[[#This Row],[state]],State!$A$2:$B$37,2,0)</f>
        <v xml:space="preserve"> Haryana</v>
      </c>
      <c r="C631" t="s">
        <v>214</v>
      </c>
      <c r="D631" s="5">
        <v>2550</v>
      </c>
      <c r="E631" s="5">
        <v>809</v>
      </c>
      <c r="F631" s="5">
        <v>809</v>
      </c>
      <c r="G631" s="5">
        <v>2245</v>
      </c>
      <c r="H631" s="4">
        <v>44365350</v>
      </c>
      <c r="I631" s="5">
        <f>pmsurya[[#This Row],[applications]]-pmsurya[[#This Row],[installations]]</f>
        <v>1741</v>
      </c>
      <c r="J631" s="6">
        <f>(pmsurya[[#This Row],[installations]]/pmsurya[[#This Row],[applications]])</f>
        <v>0.31725490196078432</v>
      </c>
    </row>
    <row r="632" spans="1:10" x14ac:dyDescent="0.3">
      <c r="A632" s="3" t="s">
        <v>199</v>
      </c>
      <c r="B632" t="str">
        <f>VLOOKUP(pmsurya[[#This Row],[state]],State!$A$2:$B$37,2,0)</f>
        <v xml:space="preserve"> Haryana</v>
      </c>
      <c r="C632" t="s">
        <v>215</v>
      </c>
      <c r="D632" s="5">
        <v>4430</v>
      </c>
      <c r="E632" s="5">
        <v>2540</v>
      </c>
      <c r="F632" s="5">
        <v>3474</v>
      </c>
      <c r="G632" s="5">
        <v>8854</v>
      </c>
      <c r="H632" s="4">
        <v>153315300</v>
      </c>
      <c r="I632" s="5">
        <f>pmsurya[[#This Row],[applications]]-pmsurya[[#This Row],[installations]]</f>
        <v>1890</v>
      </c>
      <c r="J632" s="6">
        <f>(pmsurya[[#This Row],[installations]]/pmsurya[[#This Row],[applications]])</f>
        <v>0.57336343115124155</v>
      </c>
    </row>
    <row r="633" spans="1:10" x14ac:dyDescent="0.3">
      <c r="A633" s="3" t="s">
        <v>199</v>
      </c>
      <c r="B633" t="str">
        <f>VLOOKUP(pmsurya[[#This Row],[state]],State!$A$2:$B$37,2,0)</f>
        <v xml:space="preserve"> Haryana</v>
      </c>
      <c r="C633" t="s">
        <v>216</v>
      </c>
      <c r="D633" s="5">
        <v>7438</v>
      </c>
      <c r="E633" s="5">
        <v>3690</v>
      </c>
      <c r="F633" s="5">
        <v>3690</v>
      </c>
      <c r="G633" s="5">
        <v>11003</v>
      </c>
      <c r="H633" s="4">
        <v>220778160</v>
      </c>
      <c r="I633" s="5">
        <f>pmsurya[[#This Row],[applications]]-pmsurya[[#This Row],[installations]]</f>
        <v>3748</v>
      </c>
      <c r="J633" s="6">
        <f>(pmsurya[[#This Row],[installations]]/pmsurya[[#This Row],[applications]])</f>
        <v>0.49610110244689432</v>
      </c>
    </row>
    <row r="634" spans="1:10" x14ac:dyDescent="0.3">
      <c r="A634" s="3" t="s">
        <v>199</v>
      </c>
      <c r="B634" t="str">
        <f>VLOOKUP(pmsurya[[#This Row],[state]],State!$A$2:$B$37,2,0)</f>
        <v xml:space="preserve"> Haryana</v>
      </c>
      <c r="C634" t="s">
        <v>217</v>
      </c>
      <c r="D634" s="5">
        <v>11913</v>
      </c>
      <c r="E634" s="5">
        <v>7133</v>
      </c>
      <c r="F634" s="5">
        <v>7155</v>
      </c>
      <c r="G634" s="5">
        <v>20954</v>
      </c>
      <c r="H634" s="4">
        <v>436981140</v>
      </c>
      <c r="I634" s="5">
        <f>pmsurya[[#This Row],[applications]]-pmsurya[[#This Row],[installations]]</f>
        <v>4780</v>
      </c>
      <c r="J634" s="6">
        <f>(pmsurya[[#This Row],[installations]]/pmsurya[[#This Row],[applications]])</f>
        <v>0.59875765969948791</v>
      </c>
    </row>
    <row r="635" spans="1:10" x14ac:dyDescent="0.3">
      <c r="A635" s="3" t="s">
        <v>199</v>
      </c>
      <c r="B635" t="str">
        <f>VLOOKUP(pmsurya[[#This Row],[state]],State!$A$2:$B$37,2,0)</f>
        <v xml:space="preserve"> Haryana</v>
      </c>
      <c r="C635" t="s">
        <v>218</v>
      </c>
      <c r="D635" s="5">
        <v>8607</v>
      </c>
      <c r="E635" s="5">
        <v>5483</v>
      </c>
      <c r="F635" s="5">
        <v>5708</v>
      </c>
      <c r="G635" s="5">
        <v>17875</v>
      </c>
      <c r="H635" s="4">
        <v>343236564</v>
      </c>
      <c r="I635" s="5">
        <f>pmsurya[[#This Row],[applications]]-pmsurya[[#This Row],[installations]]</f>
        <v>3124</v>
      </c>
      <c r="J635" s="6">
        <f>(pmsurya[[#This Row],[installations]]/pmsurya[[#This Row],[applications]])</f>
        <v>0.63703961891483674</v>
      </c>
    </row>
    <row r="636" spans="1:10" x14ac:dyDescent="0.3">
      <c r="A636" s="3" t="s">
        <v>199</v>
      </c>
      <c r="B636" t="str">
        <f>VLOOKUP(pmsurya[[#This Row],[state]],State!$A$2:$B$37,2,0)</f>
        <v xml:space="preserve"> Haryana</v>
      </c>
      <c r="C636" t="s">
        <v>219</v>
      </c>
      <c r="D636" s="5">
        <v>15695</v>
      </c>
      <c r="E636" s="5">
        <v>7582</v>
      </c>
      <c r="F636" s="5">
        <v>7582</v>
      </c>
      <c r="G636" s="5">
        <v>25065</v>
      </c>
      <c r="H636" s="4">
        <v>466481220</v>
      </c>
      <c r="I636" s="5">
        <f>pmsurya[[#This Row],[applications]]-pmsurya[[#This Row],[installations]]</f>
        <v>8113</v>
      </c>
      <c r="J636" s="6">
        <f>(pmsurya[[#This Row],[installations]]/pmsurya[[#This Row],[applications]])</f>
        <v>0.48308378464479135</v>
      </c>
    </row>
    <row r="637" spans="1:10" x14ac:dyDescent="0.3">
      <c r="A637" s="3" t="s">
        <v>199</v>
      </c>
      <c r="B637" t="str">
        <f>VLOOKUP(pmsurya[[#This Row],[state]],State!$A$2:$B$37,2,0)</f>
        <v xml:space="preserve"> Haryana</v>
      </c>
      <c r="C637" t="s">
        <v>220</v>
      </c>
      <c r="D637" s="5">
        <v>6217</v>
      </c>
      <c r="E637" s="5">
        <v>3421</v>
      </c>
      <c r="F637" s="5">
        <v>8221</v>
      </c>
      <c r="G637" s="5">
        <v>11307</v>
      </c>
      <c r="H637" s="4">
        <v>210021690</v>
      </c>
      <c r="I637" s="5">
        <f>pmsurya[[#This Row],[applications]]-pmsurya[[#This Row],[installations]]</f>
        <v>2796</v>
      </c>
      <c r="J637" s="6">
        <f>(pmsurya[[#This Row],[installations]]/pmsurya[[#This Row],[applications]])</f>
        <v>0.55026540131896418</v>
      </c>
    </row>
    <row r="638" spans="1:10" x14ac:dyDescent="0.3">
      <c r="A638" s="3" t="s">
        <v>199</v>
      </c>
      <c r="B638" t="str">
        <f>VLOOKUP(pmsurya[[#This Row],[state]],State!$A$2:$B$37,2,0)</f>
        <v xml:space="preserve"> Haryana</v>
      </c>
      <c r="C638" t="s">
        <v>221</v>
      </c>
      <c r="D638" s="5">
        <v>12371</v>
      </c>
      <c r="E638" s="5">
        <v>7256</v>
      </c>
      <c r="F638" s="5">
        <v>7256</v>
      </c>
      <c r="G638" s="5">
        <v>23371</v>
      </c>
      <c r="H638" s="4">
        <v>436163370</v>
      </c>
      <c r="I638" s="5">
        <f>pmsurya[[#This Row],[applications]]-pmsurya[[#This Row],[installations]]</f>
        <v>5115</v>
      </c>
      <c r="J638" s="6">
        <f>(pmsurya[[#This Row],[installations]]/pmsurya[[#This Row],[applications]])</f>
        <v>0.58653302077439173</v>
      </c>
    </row>
    <row r="639" spans="1:10" x14ac:dyDescent="0.3">
      <c r="A639" s="3" t="s">
        <v>766</v>
      </c>
      <c r="B639" t="str">
        <f>VLOOKUP(pmsurya[[#This Row],[state]],State!$A$2:$B$37,2,0)</f>
        <v xml:space="preserve"> NCT of Delhi</v>
      </c>
      <c r="C639" t="s">
        <v>767</v>
      </c>
      <c r="D639" s="5">
        <v>467</v>
      </c>
      <c r="E639" s="5">
        <v>80</v>
      </c>
      <c r="F639" s="5">
        <v>80</v>
      </c>
      <c r="G639" s="5">
        <v>356</v>
      </c>
      <c r="H639" s="4">
        <v>5655390</v>
      </c>
      <c r="I639" s="5">
        <f>pmsurya[[#This Row],[applications]]-pmsurya[[#This Row],[installations]]</f>
        <v>387</v>
      </c>
      <c r="J639" s="6">
        <f>(pmsurya[[#This Row],[installations]]/pmsurya[[#This Row],[applications]])</f>
        <v>0.17130620985010706</v>
      </c>
    </row>
    <row r="640" spans="1:10" x14ac:dyDescent="0.3">
      <c r="A640" s="3" t="s">
        <v>766</v>
      </c>
      <c r="B640" t="str">
        <f>VLOOKUP(pmsurya[[#This Row],[state]],State!$A$2:$B$37,2,0)</f>
        <v xml:space="preserve"> NCT of Delhi</v>
      </c>
      <c r="C640" t="s">
        <v>768</v>
      </c>
      <c r="D640" s="5">
        <v>1759</v>
      </c>
      <c r="E640" s="5">
        <v>514</v>
      </c>
      <c r="F640" s="5">
        <v>1173</v>
      </c>
      <c r="G640" s="5">
        <v>2476</v>
      </c>
      <c r="H640" s="4">
        <v>38748240</v>
      </c>
      <c r="I640" s="5">
        <f>pmsurya[[#This Row],[applications]]-pmsurya[[#This Row],[installations]]</f>
        <v>1245</v>
      </c>
      <c r="J640" s="6">
        <f>(pmsurya[[#This Row],[installations]]/pmsurya[[#This Row],[applications]])</f>
        <v>0.2922114837976123</v>
      </c>
    </row>
    <row r="641" spans="1:10" x14ac:dyDescent="0.3">
      <c r="A641" s="3" t="s">
        <v>766</v>
      </c>
      <c r="B641" t="str">
        <f>VLOOKUP(pmsurya[[#This Row],[state]],State!$A$2:$B$37,2,0)</f>
        <v xml:space="preserve"> NCT of Delhi</v>
      </c>
      <c r="C641" t="s">
        <v>769</v>
      </c>
      <c r="D641" s="5">
        <v>456</v>
      </c>
      <c r="E641" s="5">
        <v>185</v>
      </c>
      <c r="F641" s="5">
        <v>595</v>
      </c>
      <c r="G641" s="5">
        <v>1024</v>
      </c>
      <c r="H641" s="4">
        <v>15831420</v>
      </c>
      <c r="I641" s="5">
        <f>pmsurya[[#This Row],[applications]]-pmsurya[[#This Row],[installations]]</f>
        <v>271</v>
      </c>
      <c r="J641" s="6">
        <f>(pmsurya[[#This Row],[installations]]/pmsurya[[#This Row],[applications]])</f>
        <v>0.4057017543859649</v>
      </c>
    </row>
    <row r="642" spans="1:10" x14ac:dyDescent="0.3">
      <c r="A642" s="3" t="s">
        <v>766</v>
      </c>
      <c r="B642" t="str">
        <f>VLOOKUP(pmsurya[[#This Row],[state]],State!$A$2:$B$37,2,0)</f>
        <v xml:space="preserve"> NCT of Delhi</v>
      </c>
      <c r="C642" t="s">
        <v>770</v>
      </c>
      <c r="D642" s="5">
        <v>296</v>
      </c>
      <c r="E642" s="5">
        <v>114</v>
      </c>
      <c r="F642" s="5">
        <v>114</v>
      </c>
      <c r="G642" s="5">
        <v>507</v>
      </c>
      <c r="H642" s="4">
        <v>7640850</v>
      </c>
      <c r="I642" s="5">
        <f>pmsurya[[#This Row],[applications]]-pmsurya[[#This Row],[installations]]</f>
        <v>182</v>
      </c>
      <c r="J642" s="6">
        <f>(pmsurya[[#This Row],[installations]]/pmsurya[[#This Row],[applications]])</f>
        <v>0.38513513513513514</v>
      </c>
    </row>
    <row r="643" spans="1:10" x14ac:dyDescent="0.3">
      <c r="A643" s="3" t="s">
        <v>766</v>
      </c>
      <c r="B643" t="str">
        <f>VLOOKUP(pmsurya[[#This Row],[state]],State!$A$2:$B$37,2,0)</f>
        <v xml:space="preserve"> NCT of Delhi</v>
      </c>
      <c r="C643" t="s">
        <v>771</v>
      </c>
      <c r="D643" s="5">
        <v>2025</v>
      </c>
      <c r="E643" s="5">
        <v>467</v>
      </c>
      <c r="F643" s="5">
        <v>567</v>
      </c>
      <c r="G643" s="5">
        <v>2072</v>
      </c>
      <c r="H643" s="4">
        <v>33589710</v>
      </c>
      <c r="I643" s="5">
        <f>pmsurya[[#This Row],[applications]]-pmsurya[[#This Row],[installations]]</f>
        <v>1558</v>
      </c>
      <c r="J643" s="6">
        <f>(pmsurya[[#This Row],[installations]]/pmsurya[[#This Row],[applications]])</f>
        <v>0.23061728395061729</v>
      </c>
    </row>
    <row r="644" spans="1:10" x14ac:dyDescent="0.3">
      <c r="A644" s="3" t="s">
        <v>766</v>
      </c>
      <c r="B644" t="str">
        <f>VLOOKUP(pmsurya[[#This Row],[state]],State!$A$2:$B$37,2,0)</f>
        <v xml:space="preserve"> NCT of Delhi</v>
      </c>
      <c r="C644" t="s">
        <v>772</v>
      </c>
      <c r="D644" s="5">
        <v>27960</v>
      </c>
      <c r="E644" s="5">
        <v>4256</v>
      </c>
      <c r="F644" s="5">
        <v>4506</v>
      </c>
      <c r="G644" s="5">
        <v>17121</v>
      </c>
      <c r="H644" s="4">
        <v>262348860</v>
      </c>
      <c r="I644" s="5">
        <f>pmsurya[[#This Row],[applications]]-pmsurya[[#This Row],[installations]]</f>
        <v>23704</v>
      </c>
      <c r="J644" s="6">
        <f>(pmsurya[[#This Row],[installations]]/pmsurya[[#This Row],[applications]])</f>
        <v>0.15221745350500715</v>
      </c>
    </row>
    <row r="645" spans="1:10" x14ac:dyDescent="0.3">
      <c r="A645" s="3" t="s">
        <v>766</v>
      </c>
      <c r="B645" t="str">
        <f>VLOOKUP(pmsurya[[#This Row],[state]],State!$A$2:$B$37,2,0)</f>
        <v xml:space="preserve"> NCT of Delhi</v>
      </c>
      <c r="C645" t="s">
        <v>773</v>
      </c>
      <c r="D645" s="5">
        <v>1250</v>
      </c>
      <c r="E645" s="5">
        <v>122</v>
      </c>
      <c r="F645" s="5">
        <v>122</v>
      </c>
      <c r="G645" s="5">
        <v>511</v>
      </c>
      <c r="H645" s="4">
        <v>8198250</v>
      </c>
      <c r="I645" s="5">
        <f>pmsurya[[#This Row],[applications]]-pmsurya[[#This Row],[installations]]</f>
        <v>1128</v>
      </c>
      <c r="J645" s="6">
        <f>(pmsurya[[#This Row],[installations]]/pmsurya[[#This Row],[applications]])</f>
        <v>9.7600000000000006E-2</v>
      </c>
    </row>
    <row r="646" spans="1:10" x14ac:dyDescent="0.3">
      <c r="A646" s="3" t="s">
        <v>766</v>
      </c>
      <c r="B646" t="str">
        <f>VLOOKUP(pmsurya[[#This Row],[state]],State!$A$2:$B$37,2,0)</f>
        <v xml:space="preserve"> NCT of Delhi</v>
      </c>
      <c r="C646" t="s">
        <v>774</v>
      </c>
      <c r="D646" s="5">
        <v>1259</v>
      </c>
      <c r="E646" s="5">
        <v>599</v>
      </c>
      <c r="F646" s="5">
        <v>599</v>
      </c>
      <c r="G646" s="5">
        <v>3174</v>
      </c>
      <c r="H646" s="4">
        <v>42108510</v>
      </c>
      <c r="I646" s="5">
        <f>pmsurya[[#This Row],[applications]]-pmsurya[[#This Row],[installations]]</f>
        <v>660</v>
      </c>
      <c r="J646" s="6">
        <f>(pmsurya[[#This Row],[installations]]/pmsurya[[#This Row],[applications]])</f>
        <v>0.47577442414614773</v>
      </c>
    </row>
    <row r="647" spans="1:10" x14ac:dyDescent="0.3">
      <c r="A647" s="3" t="s">
        <v>766</v>
      </c>
      <c r="B647" t="str">
        <f>VLOOKUP(pmsurya[[#This Row],[state]],State!$A$2:$B$37,2,0)</f>
        <v xml:space="preserve"> NCT of Delhi</v>
      </c>
      <c r="C647" t="s">
        <v>775</v>
      </c>
      <c r="D647" s="5">
        <v>416</v>
      </c>
      <c r="E647" s="5">
        <v>129</v>
      </c>
      <c r="F647" s="5">
        <v>129</v>
      </c>
      <c r="G647" s="5">
        <v>618</v>
      </c>
      <c r="H647" s="4">
        <v>9223320</v>
      </c>
      <c r="I647" s="5">
        <f>pmsurya[[#This Row],[applications]]-pmsurya[[#This Row],[installations]]</f>
        <v>287</v>
      </c>
      <c r="J647" s="6">
        <f>(pmsurya[[#This Row],[installations]]/pmsurya[[#This Row],[applications]])</f>
        <v>0.31009615384615385</v>
      </c>
    </row>
    <row r="648" spans="1:10" x14ac:dyDescent="0.3">
      <c r="A648" s="3" t="s">
        <v>766</v>
      </c>
      <c r="B648" t="str">
        <f>VLOOKUP(pmsurya[[#This Row],[state]],State!$A$2:$B$37,2,0)</f>
        <v xml:space="preserve"> NCT of Delhi</v>
      </c>
      <c r="C648" t="s">
        <v>776</v>
      </c>
      <c r="D648" s="5">
        <v>3396</v>
      </c>
      <c r="E648" s="5">
        <v>1536</v>
      </c>
      <c r="F648" s="5">
        <v>4577</v>
      </c>
      <c r="G648" s="5">
        <v>8126</v>
      </c>
      <c r="H648" s="4">
        <v>133454790</v>
      </c>
      <c r="I648" s="5">
        <f>pmsurya[[#This Row],[applications]]-pmsurya[[#This Row],[installations]]</f>
        <v>1860</v>
      </c>
      <c r="J648" s="6">
        <f>(pmsurya[[#This Row],[installations]]/pmsurya[[#This Row],[applications]])</f>
        <v>0.45229681978798586</v>
      </c>
    </row>
    <row r="649" spans="1:10" x14ac:dyDescent="0.3">
      <c r="A649" s="3" t="s">
        <v>766</v>
      </c>
      <c r="B649" t="str">
        <f>VLOOKUP(pmsurya[[#This Row],[state]],State!$A$2:$B$37,2,0)</f>
        <v xml:space="preserve"> NCT of Delhi</v>
      </c>
      <c r="C649" t="s">
        <v>777</v>
      </c>
      <c r="D649" s="5">
        <v>2172</v>
      </c>
      <c r="E649" s="5">
        <v>1029</v>
      </c>
      <c r="F649" s="5">
        <v>1029</v>
      </c>
      <c r="G649" s="5">
        <v>4615</v>
      </c>
      <c r="H649" s="4">
        <v>71712840</v>
      </c>
      <c r="I649" s="5">
        <f>pmsurya[[#This Row],[applications]]-pmsurya[[#This Row],[installations]]</f>
        <v>1143</v>
      </c>
      <c r="J649" s="6">
        <f>(pmsurya[[#This Row],[installations]]/pmsurya[[#This Row],[applications]])</f>
        <v>0.47375690607734805</v>
      </c>
    </row>
    <row r="650" spans="1:10" x14ac:dyDescent="0.3">
      <c r="A650" s="3" t="s">
        <v>508</v>
      </c>
      <c r="B650" t="str">
        <f>VLOOKUP(pmsurya[[#This Row],[state]],State!$A$2:$B$37,2,0)</f>
        <v xml:space="preserve"> Rajasthan</v>
      </c>
      <c r="C650" t="s">
        <v>509</v>
      </c>
      <c r="D650" s="5">
        <v>16464</v>
      </c>
      <c r="E650" s="5">
        <v>8951</v>
      </c>
      <c r="F650" s="5">
        <v>8951</v>
      </c>
      <c r="G650" s="5">
        <v>32547</v>
      </c>
      <c r="H650" s="4">
        <v>601205010</v>
      </c>
      <c r="I650" s="5">
        <f>pmsurya[[#This Row],[applications]]-pmsurya[[#This Row],[installations]]</f>
        <v>7513</v>
      </c>
      <c r="J650" s="6">
        <f>(pmsurya[[#This Row],[installations]]/pmsurya[[#This Row],[applications]])</f>
        <v>0.54367103984450926</v>
      </c>
    </row>
    <row r="651" spans="1:10" x14ac:dyDescent="0.3">
      <c r="A651" s="3" t="s">
        <v>508</v>
      </c>
      <c r="B651" t="str">
        <f>VLOOKUP(pmsurya[[#This Row],[state]],State!$A$2:$B$37,2,0)</f>
        <v xml:space="preserve"> Rajasthan</v>
      </c>
      <c r="C651" t="s">
        <v>510</v>
      </c>
      <c r="D651" s="5">
        <v>11746</v>
      </c>
      <c r="E651" s="5">
        <v>5310</v>
      </c>
      <c r="F651" s="5">
        <v>5310</v>
      </c>
      <c r="G651" s="5">
        <v>22969</v>
      </c>
      <c r="H651" s="4">
        <v>352658490</v>
      </c>
      <c r="I651" s="5">
        <f>pmsurya[[#This Row],[applications]]-pmsurya[[#This Row],[installations]]</f>
        <v>6436</v>
      </c>
      <c r="J651" s="6">
        <f>(pmsurya[[#This Row],[installations]]/pmsurya[[#This Row],[applications]])</f>
        <v>0.45206878937510642</v>
      </c>
    </row>
    <row r="652" spans="1:10" x14ac:dyDescent="0.3">
      <c r="A652" s="3" t="s">
        <v>508</v>
      </c>
      <c r="B652" t="str">
        <f>VLOOKUP(pmsurya[[#This Row],[state]],State!$A$2:$B$37,2,0)</f>
        <v xml:space="preserve"> Rajasthan</v>
      </c>
      <c r="C652" t="s">
        <v>511</v>
      </c>
      <c r="D652" s="5">
        <v>653</v>
      </c>
      <c r="E652" s="5">
        <v>350</v>
      </c>
      <c r="F652" s="5">
        <v>350</v>
      </c>
      <c r="G652" s="5">
        <v>1369</v>
      </c>
      <c r="H652" s="4">
        <v>26241060</v>
      </c>
      <c r="I652" s="5">
        <f>pmsurya[[#This Row],[applications]]-pmsurya[[#This Row],[installations]]</f>
        <v>303</v>
      </c>
      <c r="J652" s="6">
        <f>(pmsurya[[#This Row],[installations]]/pmsurya[[#This Row],[applications]])</f>
        <v>0.53598774885145484</v>
      </c>
    </row>
    <row r="653" spans="1:10" x14ac:dyDescent="0.3">
      <c r="A653" s="3" t="s">
        <v>508</v>
      </c>
      <c r="B653" t="str">
        <f>VLOOKUP(pmsurya[[#This Row],[state]],State!$A$2:$B$37,2,0)</f>
        <v xml:space="preserve"> Rajasthan</v>
      </c>
      <c r="C653" t="s">
        <v>512</v>
      </c>
      <c r="D653" s="5">
        <v>2751</v>
      </c>
      <c r="E653" s="5">
        <v>1011</v>
      </c>
      <c r="F653" s="5">
        <v>1011</v>
      </c>
      <c r="G653" s="5">
        <v>3973</v>
      </c>
      <c r="H653" s="4">
        <v>63041700</v>
      </c>
      <c r="I653" s="5">
        <f>pmsurya[[#This Row],[applications]]-pmsurya[[#This Row],[installations]]</f>
        <v>1740</v>
      </c>
      <c r="J653" s="6">
        <f>(pmsurya[[#This Row],[installations]]/pmsurya[[#This Row],[applications]])</f>
        <v>0.36750272628135222</v>
      </c>
    </row>
    <row r="654" spans="1:10" x14ac:dyDescent="0.3">
      <c r="A654" s="3" t="s">
        <v>508</v>
      </c>
      <c r="B654" t="str">
        <f>VLOOKUP(pmsurya[[#This Row],[state]],State!$A$2:$B$37,2,0)</f>
        <v xml:space="preserve"> Rajasthan</v>
      </c>
      <c r="C654" t="s">
        <v>513</v>
      </c>
      <c r="D654" s="5">
        <v>3773</v>
      </c>
      <c r="E654" s="5">
        <v>1661</v>
      </c>
      <c r="F654" s="5">
        <v>1661</v>
      </c>
      <c r="G654" s="5">
        <v>6203</v>
      </c>
      <c r="H654" s="4">
        <v>108221640</v>
      </c>
      <c r="I654" s="5">
        <f>pmsurya[[#This Row],[applications]]-pmsurya[[#This Row],[installations]]</f>
        <v>2112</v>
      </c>
      <c r="J654" s="6">
        <f>(pmsurya[[#This Row],[installations]]/pmsurya[[#This Row],[applications]])</f>
        <v>0.44023323615160348</v>
      </c>
    </row>
    <row r="655" spans="1:10" x14ac:dyDescent="0.3">
      <c r="A655" s="3" t="s">
        <v>508</v>
      </c>
      <c r="B655" t="str">
        <f>VLOOKUP(pmsurya[[#This Row],[state]],State!$A$2:$B$37,2,0)</f>
        <v xml:space="preserve"> Rajasthan</v>
      </c>
      <c r="C655" t="s">
        <v>514</v>
      </c>
      <c r="D655" s="5">
        <v>2321</v>
      </c>
      <c r="E655" s="5">
        <v>1398</v>
      </c>
      <c r="F655" s="5">
        <v>1398</v>
      </c>
      <c r="G655" s="5">
        <v>5526</v>
      </c>
      <c r="H655" s="4">
        <v>88539240</v>
      </c>
      <c r="I655" s="5">
        <f>pmsurya[[#This Row],[applications]]-pmsurya[[#This Row],[installations]]</f>
        <v>923</v>
      </c>
      <c r="J655" s="6">
        <f>(pmsurya[[#This Row],[installations]]/pmsurya[[#This Row],[applications]])</f>
        <v>0.60232658336923739</v>
      </c>
    </row>
    <row r="656" spans="1:10" x14ac:dyDescent="0.3">
      <c r="A656" s="3" t="s">
        <v>508</v>
      </c>
      <c r="B656" t="str">
        <f>VLOOKUP(pmsurya[[#This Row],[state]],State!$A$2:$B$37,2,0)</f>
        <v xml:space="preserve"> Rajasthan</v>
      </c>
      <c r="C656" t="s">
        <v>515</v>
      </c>
      <c r="D656" s="5">
        <v>4593</v>
      </c>
      <c r="E656" s="5">
        <v>1866</v>
      </c>
      <c r="F656" s="5">
        <v>1866</v>
      </c>
      <c r="G656" s="5">
        <v>7704</v>
      </c>
      <c r="H656" s="4">
        <v>112917030</v>
      </c>
      <c r="I656" s="5">
        <f>pmsurya[[#This Row],[applications]]-pmsurya[[#This Row],[installations]]</f>
        <v>2727</v>
      </c>
      <c r="J656" s="6">
        <f>(pmsurya[[#This Row],[installations]]/pmsurya[[#This Row],[applications]])</f>
        <v>0.40627041149575444</v>
      </c>
    </row>
    <row r="657" spans="1:10" x14ac:dyDescent="0.3">
      <c r="A657" s="3" t="s">
        <v>508</v>
      </c>
      <c r="B657" t="str">
        <f>VLOOKUP(pmsurya[[#This Row],[state]],State!$A$2:$B$37,2,0)</f>
        <v xml:space="preserve"> Rajasthan</v>
      </c>
      <c r="C657" t="s">
        <v>516</v>
      </c>
      <c r="D657" s="5">
        <v>4215</v>
      </c>
      <c r="E657" s="5">
        <v>2111</v>
      </c>
      <c r="F657" s="5">
        <v>2111</v>
      </c>
      <c r="G657" s="5">
        <v>7520</v>
      </c>
      <c r="H657" s="4">
        <v>139079250</v>
      </c>
      <c r="I657" s="5">
        <f>pmsurya[[#This Row],[applications]]-pmsurya[[#This Row],[installations]]</f>
        <v>2104</v>
      </c>
      <c r="J657" s="6">
        <f>(pmsurya[[#This Row],[installations]]/pmsurya[[#This Row],[applications]])</f>
        <v>0.50083036773428236</v>
      </c>
    </row>
    <row r="658" spans="1:10" x14ac:dyDescent="0.3">
      <c r="A658" s="3" t="s">
        <v>508</v>
      </c>
      <c r="B658" t="str">
        <f>VLOOKUP(pmsurya[[#This Row],[state]],State!$A$2:$B$37,2,0)</f>
        <v xml:space="preserve"> Rajasthan</v>
      </c>
      <c r="C658" t="s">
        <v>517</v>
      </c>
      <c r="D658" s="5">
        <v>4602</v>
      </c>
      <c r="E658" s="5">
        <v>2089</v>
      </c>
      <c r="F658" s="5">
        <v>2089</v>
      </c>
      <c r="G658" s="5">
        <v>7832</v>
      </c>
      <c r="H658" s="4">
        <v>132144090</v>
      </c>
      <c r="I658" s="5">
        <f>pmsurya[[#This Row],[applications]]-pmsurya[[#This Row],[installations]]</f>
        <v>2513</v>
      </c>
      <c r="J658" s="6">
        <f>(pmsurya[[#This Row],[installations]]/pmsurya[[#This Row],[applications]])</f>
        <v>0.45393307257714038</v>
      </c>
    </row>
    <row r="659" spans="1:10" x14ac:dyDescent="0.3">
      <c r="A659" s="3" t="s">
        <v>508</v>
      </c>
      <c r="B659" t="str">
        <f>VLOOKUP(pmsurya[[#This Row],[state]],State!$A$2:$B$37,2,0)</f>
        <v xml:space="preserve"> Rajasthan</v>
      </c>
      <c r="C659" t="s">
        <v>518</v>
      </c>
      <c r="D659" s="5">
        <v>13708</v>
      </c>
      <c r="E659" s="5">
        <v>7722</v>
      </c>
      <c r="F659" s="5">
        <v>8014</v>
      </c>
      <c r="G659" s="5">
        <v>27814</v>
      </c>
      <c r="H659" s="4">
        <v>517925100</v>
      </c>
      <c r="I659" s="5">
        <f>pmsurya[[#This Row],[applications]]-pmsurya[[#This Row],[installations]]</f>
        <v>5986</v>
      </c>
      <c r="J659" s="6">
        <f>(pmsurya[[#This Row],[installations]]/pmsurya[[#This Row],[applications]])</f>
        <v>0.56332068864896412</v>
      </c>
    </row>
    <row r="660" spans="1:10" x14ac:dyDescent="0.3">
      <c r="A660" s="3" t="s">
        <v>508</v>
      </c>
      <c r="B660" t="str">
        <f>VLOOKUP(pmsurya[[#This Row],[state]],State!$A$2:$B$37,2,0)</f>
        <v xml:space="preserve"> Rajasthan</v>
      </c>
      <c r="C660" t="s">
        <v>519</v>
      </c>
      <c r="D660" s="5">
        <v>15659</v>
      </c>
      <c r="E660" s="5">
        <v>8606</v>
      </c>
      <c r="F660" s="5">
        <v>8606</v>
      </c>
      <c r="G660" s="5">
        <v>34479</v>
      </c>
      <c r="H660" s="4">
        <v>566796210</v>
      </c>
      <c r="I660" s="5">
        <f>pmsurya[[#This Row],[applications]]-pmsurya[[#This Row],[installations]]</f>
        <v>7053</v>
      </c>
      <c r="J660" s="6">
        <f>(pmsurya[[#This Row],[installations]]/pmsurya[[#This Row],[applications]])</f>
        <v>0.54958809630244587</v>
      </c>
    </row>
    <row r="661" spans="1:10" x14ac:dyDescent="0.3">
      <c r="A661" s="3" t="s">
        <v>508</v>
      </c>
      <c r="B661" t="str">
        <f>VLOOKUP(pmsurya[[#This Row],[state]],State!$A$2:$B$37,2,0)</f>
        <v xml:space="preserve"> Rajasthan</v>
      </c>
      <c r="C661" t="s">
        <v>520</v>
      </c>
      <c r="D661" s="5">
        <v>2441</v>
      </c>
      <c r="E661" s="5">
        <v>1402</v>
      </c>
      <c r="F661" s="5">
        <v>1513</v>
      </c>
      <c r="G661" s="5">
        <v>5800</v>
      </c>
      <c r="H661" s="4">
        <v>95424150</v>
      </c>
      <c r="I661" s="5">
        <f>pmsurya[[#This Row],[applications]]-pmsurya[[#This Row],[installations]]</f>
        <v>1039</v>
      </c>
      <c r="J661" s="6">
        <f>(pmsurya[[#This Row],[installations]]/pmsurya[[#This Row],[applications]])</f>
        <v>0.57435477263416634</v>
      </c>
    </row>
    <row r="662" spans="1:10" x14ac:dyDescent="0.3">
      <c r="A662" s="3" t="s">
        <v>508</v>
      </c>
      <c r="B662" t="str">
        <f>VLOOKUP(pmsurya[[#This Row],[state]],State!$A$2:$B$37,2,0)</f>
        <v xml:space="preserve"> Rajasthan</v>
      </c>
      <c r="C662" t="s">
        <v>521</v>
      </c>
      <c r="D662" s="5">
        <v>10140</v>
      </c>
      <c r="E662" s="5">
        <v>6803</v>
      </c>
      <c r="F662" s="5">
        <v>6803</v>
      </c>
      <c r="G662" s="5">
        <v>24599</v>
      </c>
      <c r="H662" s="4">
        <v>473180460</v>
      </c>
      <c r="I662" s="5">
        <f>pmsurya[[#This Row],[applications]]-pmsurya[[#This Row],[installations]]</f>
        <v>3337</v>
      </c>
      <c r="J662" s="6">
        <f>(pmsurya[[#This Row],[installations]]/pmsurya[[#This Row],[applications]])</f>
        <v>0.67090729783037473</v>
      </c>
    </row>
    <row r="663" spans="1:10" x14ac:dyDescent="0.3">
      <c r="A663" s="3" t="s">
        <v>508</v>
      </c>
      <c r="B663" t="str">
        <f>VLOOKUP(pmsurya[[#This Row],[state]],State!$A$2:$B$37,2,0)</f>
        <v xml:space="preserve"> Rajasthan</v>
      </c>
      <c r="C663" t="s">
        <v>522</v>
      </c>
      <c r="D663" s="5">
        <v>12624</v>
      </c>
      <c r="E663" s="5">
        <v>6342</v>
      </c>
      <c r="F663" s="5">
        <v>6342</v>
      </c>
      <c r="G663" s="5">
        <v>24738</v>
      </c>
      <c r="H663" s="4">
        <v>398898570</v>
      </c>
      <c r="I663" s="5">
        <f>pmsurya[[#This Row],[applications]]-pmsurya[[#This Row],[installations]]</f>
        <v>6282</v>
      </c>
      <c r="J663" s="6">
        <f>(pmsurya[[#This Row],[installations]]/pmsurya[[#This Row],[applications]])</f>
        <v>0.50237642585551334</v>
      </c>
    </row>
    <row r="664" spans="1:10" x14ac:dyDescent="0.3">
      <c r="A664" s="3" t="s">
        <v>508</v>
      </c>
      <c r="B664" t="str">
        <f>VLOOKUP(pmsurya[[#This Row],[state]],State!$A$2:$B$37,2,0)</f>
        <v xml:space="preserve"> Rajasthan</v>
      </c>
      <c r="C664" t="s">
        <v>523</v>
      </c>
      <c r="D664" s="5">
        <v>4685</v>
      </c>
      <c r="E664" s="5">
        <v>2300</v>
      </c>
      <c r="F664" s="5">
        <v>2342</v>
      </c>
      <c r="G664" s="5">
        <v>8584</v>
      </c>
      <c r="H664" s="4">
        <v>157020810</v>
      </c>
      <c r="I664" s="5">
        <f>pmsurya[[#This Row],[applications]]-pmsurya[[#This Row],[installations]]</f>
        <v>2385</v>
      </c>
      <c r="J664" s="6">
        <f>(pmsurya[[#This Row],[installations]]/pmsurya[[#This Row],[applications]])</f>
        <v>0.49092849519743864</v>
      </c>
    </row>
    <row r="665" spans="1:10" x14ac:dyDescent="0.3">
      <c r="A665" s="3" t="s">
        <v>508</v>
      </c>
      <c r="B665" t="str">
        <f>VLOOKUP(pmsurya[[#This Row],[state]],State!$A$2:$B$37,2,0)</f>
        <v xml:space="preserve"> Rajasthan</v>
      </c>
      <c r="C665" t="s">
        <v>524</v>
      </c>
      <c r="D665" s="5">
        <v>749</v>
      </c>
      <c r="E665" s="5">
        <v>252</v>
      </c>
      <c r="F665" s="5">
        <v>252</v>
      </c>
      <c r="G665" s="5">
        <v>881</v>
      </c>
      <c r="H665" s="4">
        <v>16264650</v>
      </c>
      <c r="I665" s="5">
        <f>pmsurya[[#This Row],[applications]]-pmsurya[[#This Row],[installations]]</f>
        <v>497</v>
      </c>
      <c r="J665" s="6">
        <f>(pmsurya[[#This Row],[installations]]/pmsurya[[#This Row],[applications]])</f>
        <v>0.3364485981308411</v>
      </c>
    </row>
    <row r="666" spans="1:10" x14ac:dyDescent="0.3">
      <c r="A666" s="3" t="s">
        <v>508</v>
      </c>
      <c r="B666" t="str">
        <f>VLOOKUP(pmsurya[[#This Row],[state]],State!$A$2:$B$37,2,0)</f>
        <v xml:space="preserve"> Rajasthan</v>
      </c>
      <c r="C666" t="s">
        <v>525</v>
      </c>
      <c r="D666" s="5">
        <v>2232</v>
      </c>
      <c r="E666" s="5">
        <v>1155</v>
      </c>
      <c r="F666" s="5">
        <v>1155</v>
      </c>
      <c r="G666" s="5">
        <v>3743</v>
      </c>
      <c r="H666" s="4">
        <v>75617400</v>
      </c>
      <c r="I666" s="5">
        <f>pmsurya[[#This Row],[applications]]-pmsurya[[#This Row],[installations]]</f>
        <v>1077</v>
      </c>
      <c r="J666" s="6">
        <f>(pmsurya[[#This Row],[installations]]/pmsurya[[#This Row],[applications]])</f>
        <v>0.51747311827956988</v>
      </c>
    </row>
    <row r="667" spans="1:10" x14ac:dyDescent="0.3">
      <c r="A667" s="3" t="s">
        <v>508</v>
      </c>
      <c r="B667" t="str">
        <f>VLOOKUP(pmsurya[[#This Row],[state]],State!$A$2:$B$37,2,0)</f>
        <v xml:space="preserve"> Rajasthan</v>
      </c>
      <c r="C667" t="s">
        <v>526</v>
      </c>
      <c r="D667" s="5">
        <v>7186</v>
      </c>
      <c r="E667" s="5">
        <v>3785</v>
      </c>
      <c r="F667" s="5">
        <v>3785</v>
      </c>
      <c r="G667" s="5">
        <v>13731</v>
      </c>
      <c r="H667" s="4">
        <v>246768870</v>
      </c>
      <c r="I667" s="5">
        <f>pmsurya[[#This Row],[applications]]-pmsurya[[#This Row],[installations]]</f>
        <v>3401</v>
      </c>
      <c r="J667" s="6">
        <f>(pmsurya[[#This Row],[installations]]/pmsurya[[#This Row],[applications]])</f>
        <v>0.52671861953799048</v>
      </c>
    </row>
    <row r="668" spans="1:10" x14ac:dyDescent="0.3">
      <c r="A668" s="3" t="s">
        <v>508</v>
      </c>
      <c r="B668" t="str">
        <f>VLOOKUP(pmsurya[[#This Row],[state]],State!$A$2:$B$37,2,0)</f>
        <v xml:space="preserve"> Rajasthan</v>
      </c>
      <c r="C668" t="s">
        <v>527</v>
      </c>
      <c r="D668" s="5">
        <v>51</v>
      </c>
      <c r="E668" s="5">
        <v>8</v>
      </c>
      <c r="F668" s="5">
        <v>8</v>
      </c>
      <c r="G668" s="5">
        <v>30</v>
      </c>
      <c r="H668" s="4">
        <v>624000</v>
      </c>
      <c r="I668" s="5">
        <f>pmsurya[[#This Row],[applications]]-pmsurya[[#This Row],[installations]]</f>
        <v>43</v>
      </c>
      <c r="J668" s="6">
        <f>(pmsurya[[#This Row],[installations]]/pmsurya[[#This Row],[applications]])</f>
        <v>0.15686274509803921</v>
      </c>
    </row>
    <row r="669" spans="1:10" x14ac:dyDescent="0.3">
      <c r="A669" s="3" t="s">
        <v>508</v>
      </c>
      <c r="B669" t="str">
        <f>VLOOKUP(pmsurya[[#This Row],[state]],State!$A$2:$B$37,2,0)</f>
        <v xml:space="preserve"> Rajasthan</v>
      </c>
      <c r="C669" t="s">
        <v>528</v>
      </c>
      <c r="D669" s="5">
        <v>3543</v>
      </c>
      <c r="E669" s="5">
        <v>1817</v>
      </c>
      <c r="F669" s="5">
        <v>1817</v>
      </c>
      <c r="G669" s="5">
        <v>6999</v>
      </c>
      <c r="H669" s="4">
        <v>120561240</v>
      </c>
      <c r="I669" s="5">
        <f>pmsurya[[#This Row],[applications]]-pmsurya[[#This Row],[installations]]</f>
        <v>1726</v>
      </c>
      <c r="J669" s="6">
        <f>(pmsurya[[#This Row],[installations]]/pmsurya[[#This Row],[applications]])</f>
        <v>0.51284222410386682</v>
      </c>
    </row>
    <row r="670" spans="1:10" x14ac:dyDescent="0.3">
      <c r="A670" s="3" t="s">
        <v>508</v>
      </c>
      <c r="B670" t="str">
        <f>VLOOKUP(pmsurya[[#This Row],[state]],State!$A$2:$B$37,2,0)</f>
        <v xml:space="preserve"> Rajasthan</v>
      </c>
      <c r="C670" t="s">
        <v>529</v>
      </c>
      <c r="D670" s="5">
        <v>36059</v>
      </c>
      <c r="E670" s="5">
        <v>22028</v>
      </c>
      <c r="F670" s="5">
        <v>22028</v>
      </c>
      <c r="G670" s="5">
        <v>74822</v>
      </c>
      <c r="H670" s="4">
        <v>1419772584</v>
      </c>
      <c r="I670" s="5">
        <f>pmsurya[[#This Row],[applications]]-pmsurya[[#This Row],[installations]]</f>
        <v>14031</v>
      </c>
      <c r="J670" s="6">
        <f>(pmsurya[[#This Row],[installations]]/pmsurya[[#This Row],[applications]])</f>
        <v>0.61088771180565182</v>
      </c>
    </row>
    <row r="671" spans="1:10" x14ac:dyDescent="0.3">
      <c r="A671" s="3" t="s">
        <v>508</v>
      </c>
      <c r="B671" t="str">
        <f>VLOOKUP(pmsurya[[#This Row],[state]],State!$A$2:$B$37,2,0)</f>
        <v xml:space="preserve"> Rajasthan</v>
      </c>
      <c r="C671" t="s">
        <v>530</v>
      </c>
      <c r="D671" s="5">
        <v>274</v>
      </c>
      <c r="E671" s="5">
        <v>165</v>
      </c>
      <c r="F671" s="5">
        <v>165</v>
      </c>
      <c r="G671" s="5">
        <v>634</v>
      </c>
      <c r="H671" s="4">
        <v>11762700</v>
      </c>
      <c r="I671" s="5">
        <f>pmsurya[[#This Row],[applications]]-pmsurya[[#This Row],[installations]]</f>
        <v>109</v>
      </c>
      <c r="J671" s="6">
        <f>(pmsurya[[#This Row],[installations]]/pmsurya[[#This Row],[applications]])</f>
        <v>0.6021897810218978</v>
      </c>
    </row>
    <row r="672" spans="1:10" x14ac:dyDescent="0.3">
      <c r="A672" s="3" t="s">
        <v>508</v>
      </c>
      <c r="B672" t="str">
        <f>VLOOKUP(pmsurya[[#This Row],[state]],State!$A$2:$B$37,2,0)</f>
        <v xml:space="preserve"> Rajasthan</v>
      </c>
      <c r="C672" t="s">
        <v>531</v>
      </c>
      <c r="D672" s="5">
        <v>22347</v>
      </c>
      <c r="E672" s="5">
        <v>13536</v>
      </c>
      <c r="F672" s="5">
        <v>13536</v>
      </c>
      <c r="G672" s="5">
        <v>46181</v>
      </c>
      <c r="H672" s="4">
        <v>859778250</v>
      </c>
      <c r="I672" s="5">
        <f>pmsurya[[#This Row],[applications]]-pmsurya[[#This Row],[installations]]</f>
        <v>8811</v>
      </c>
      <c r="J672" s="6">
        <f>(pmsurya[[#This Row],[installations]]/pmsurya[[#This Row],[applications]])</f>
        <v>0.60571888844140154</v>
      </c>
    </row>
    <row r="673" spans="1:10" x14ac:dyDescent="0.3">
      <c r="A673" s="3" t="s">
        <v>508</v>
      </c>
      <c r="B673" t="str">
        <f>VLOOKUP(pmsurya[[#This Row],[state]],State!$A$2:$B$37,2,0)</f>
        <v xml:space="preserve"> Rajasthan</v>
      </c>
      <c r="C673" t="s">
        <v>532</v>
      </c>
      <c r="D673" s="5">
        <v>78606</v>
      </c>
      <c r="E673" s="5">
        <v>47711</v>
      </c>
      <c r="F673" s="5">
        <v>50887</v>
      </c>
      <c r="G673" s="5">
        <v>198478</v>
      </c>
      <c r="H673" s="4">
        <v>3186939330</v>
      </c>
      <c r="I673" s="5">
        <f>pmsurya[[#This Row],[applications]]-pmsurya[[#This Row],[installations]]</f>
        <v>30895</v>
      </c>
      <c r="J673" s="6">
        <f>(pmsurya[[#This Row],[installations]]/pmsurya[[#This Row],[applications]])</f>
        <v>0.60696384499910949</v>
      </c>
    </row>
    <row r="674" spans="1:10" x14ac:dyDescent="0.3">
      <c r="A674" s="3" t="s">
        <v>508</v>
      </c>
      <c r="B674" t="str">
        <f>VLOOKUP(pmsurya[[#This Row],[state]],State!$A$2:$B$37,2,0)</f>
        <v xml:space="preserve"> Rajasthan</v>
      </c>
      <c r="C674" t="s">
        <v>533</v>
      </c>
      <c r="D674" s="5">
        <v>174</v>
      </c>
      <c r="E674" s="5">
        <v>38</v>
      </c>
      <c r="F674" s="5">
        <v>38</v>
      </c>
      <c r="G674" s="5">
        <v>136</v>
      </c>
      <c r="H674" s="4">
        <v>2408190</v>
      </c>
      <c r="I674" s="5">
        <f>pmsurya[[#This Row],[applications]]-pmsurya[[#This Row],[installations]]</f>
        <v>136</v>
      </c>
      <c r="J674" s="6">
        <f>(pmsurya[[#This Row],[installations]]/pmsurya[[#This Row],[applications]])</f>
        <v>0.21839080459770116</v>
      </c>
    </row>
    <row r="675" spans="1:10" x14ac:dyDescent="0.3">
      <c r="A675" s="3" t="s">
        <v>508</v>
      </c>
      <c r="B675" t="str">
        <f>VLOOKUP(pmsurya[[#This Row],[state]],State!$A$2:$B$37,2,0)</f>
        <v xml:space="preserve"> Rajasthan</v>
      </c>
      <c r="C675" t="s">
        <v>534</v>
      </c>
      <c r="D675" s="5">
        <v>1090</v>
      </c>
      <c r="E675" s="5">
        <v>436</v>
      </c>
      <c r="F675" s="5">
        <v>436</v>
      </c>
      <c r="G675" s="5">
        <v>1683</v>
      </c>
      <c r="H675" s="4">
        <v>27765750</v>
      </c>
      <c r="I675" s="5">
        <f>pmsurya[[#This Row],[applications]]-pmsurya[[#This Row],[installations]]</f>
        <v>654</v>
      </c>
      <c r="J675" s="6">
        <f>(pmsurya[[#This Row],[installations]]/pmsurya[[#This Row],[applications]])</f>
        <v>0.4</v>
      </c>
    </row>
    <row r="676" spans="1:10" x14ac:dyDescent="0.3">
      <c r="A676" s="3" t="s">
        <v>508</v>
      </c>
      <c r="B676" t="str">
        <f>VLOOKUP(pmsurya[[#This Row],[state]],State!$A$2:$B$37,2,0)</f>
        <v xml:space="preserve"> Rajasthan</v>
      </c>
      <c r="C676" t="s">
        <v>535</v>
      </c>
      <c r="D676" s="5">
        <v>3928</v>
      </c>
      <c r="E676" s="5">
        <v>1881</v>
      </c>
      <c r="F676" s="5">
        <v>4104</v>
      </c>
      <c r="G676" s="5">
        <v>7148</v>
      </c>
      <c r="H676" s="4">
        <v>121084290</v>
      </c>
      <c r="I676" s="5">
        <f>pmsurya[[#This Row],[applications]]-pmsurya[[#This Row],[installations]]</f>
        <v>2047</v>
      </c>
      <c r="J676" s="6">
        <f>(pmsurya[[#This Row],[installations]]/pmsurya[[#This Row],[applications]])</f>
        <v>0.47886965376782076</v>
      </c>
    </row>
    <row r="677" spans="1:10" x14ac:dyDescent="0.3">
      <c r="A677" s="3" t="s">
        <v>508</v>
      </c>
      <c r="B677" t="str">
        <f>VLOOKUP(pmsurya[[#This Row],[state]],State!$A$2:$B$37,2,0)</f>
        <v xml:space="preserve"> Rajasthan</v>
      </c>
      <c r="C677" t="s">
        <v>536</v>
      </c>
      <c r="D677" s="5">
        <v>3221</v>
      </c>
      <c r="E677" s="5">
        <v>1874</v>
      </c>
      <c r="F677" s="5">
        <v>1874</v>
      </c>
      <c r="G677" s="5">
        <v>7339</v>
      </c>
      <c r="H677" s="4">
        <v>128521140</v>
      </c>
      <c r="I677" s="5">
        <f>pmsurya[[#This Row],[applications]]-pmsurya[[#This Row],[installations]]</f>
        <v>1347</v>
      </c>
      <c r="J677" s="6">
        <f>(pmsurya[[#This Row],[installations]]/pmsurya[[#This Row],[applications]])</f>
        <v>0.58180689226948157</v>
      </c>
    </row>
    <row r="678" spans="1:10" x14ac:dyDescent="0.3">
      <c r="A678" s="3" t="s">
        <v>508</v>
      </c>
      <c r="B678" t="str">
        <f>VLOOKUP(pmsurya[[#This Row],[state]],State!$A$2:$B$37,2,0)</f>
        <v xml:space="preserve"> Rajasthan</v>
      </c>
      <c r="C678" t="s">
        <v>537</v>
      </c>
      <c r="D678" s="5">
        <v>22727</v>
      </c>
      <c r="E678" s="5">
        <v>11912</v>
      </c>
      <c r="F678" s="5">
        <v>11912</v>
      </c>
      <c r="G678" s="5">
        <v>43264</v>
      </c>
      <c r="H678" s="4">
        <v>772884270</v>
      </c>
      <c r="I678" s="5">
        <f>pmsurya[[#This Row],[applications]]-pmsurya[[#This Row],[installations]]</f>
        <v>10815</v>
      </c>
      <c r="J678" s="6">
        <f>(pmsurya[[#This Row],[installations]]/pmsurya[[#This Row],[applications]])</f>
        <v>0.52413428961147535</v>
      </c>
    </row>
    <row r="679" spans="1:10" x14ac:dyDescent="0.3">
      <c r="A679" s="3" t="s">
        <v>508</v>
      </c>
      <c r="B679" t="str">
        <f>VLOOKUP(pmsurya[[#This Row],[state]],State!$A$2:$B$37,2,0)</f>
        <v xml:space="preserve"> Rajasthan</v>
      </c>
      <c r="C679" t="s">
        <v>538</v>
      </c>
      <c r="D679" s="5">
        <v>21547</v>
      </c>
      <c r="E679" s="5">
        <v>11485</v>
      </c>
      <c r="F679" s="5">
        <v>11750</v>
      </c>
      <c r="G679" s="5">
        <v>47610</v>
      </c>
      <c r="H679" s="4">
        <v>769738380</v>
      </c>
      <c r="I679" s="5">
        <f>pmsurya[[#This Row],[applications]]-pmsurya[[#This Row],[installations]]</f>
        <v>10062</v>
      </c>
      <c r="J679" s="6">
        <f>(pmsurya[[#This Row],[installations]]/pmsurya[[#This Row],[applications]])</f>
        <v>0.53302083816772639</v>
      </c>
    </row>
    <row r="680" spans="1:10" x14ac:dyDescent="0.3">
      <c r="A680" s="3" t="s">
        <v>508</v>
      </c>
      <c r="B680" t="str">
        <f>VLOOKUP(pmsurya[[#This Row],[state]],State!$A$2:$B$37,2,0)</f>
        <v xml:space="preserve"> Rajasthan</v>
      </c>
      <c r="C680" t="s">
        <v>539</v>
      </c>
      <c r="D680" s="5">
        <v>93</v>
      </c>
      <c r="E680" s="5">
        <v>7</v>
      </c>
      <c r="F680" s="5">
        <v>7</v>
      </c>
      <c r="G680" s="5">
        <v>25</v>
      </c>
      <c r="H680" s="4">
        <v>468000</v>
      </c>
      <c r="I680" s="5">
        <f>pmsurya[[#This Row],[applications]]-pmsurya[[#This Row],[installations]]</f>
        <v>86</v>
      </c>
      <c r="J680" s="6">
        <f>(pmsurya[[#This Row],[installations]]/pmsurya[[#This Row],[applications]])</f>
        <v>7.5268817204301078E-2</v>
      </c>
    </row>
    <row r="681" spans="1:10" x14ac:dyDescent="0.3">
      <c r="A681" s="3" t="s">
        <v>508</v>
      </c>
      <c r="B681" t="str">
        <f>VLOOKUP(pmsurya[[#This Row],[state]],State!$A$2:$B$37,2,0)</f>
        <v xml:space="preserve"> Rajasthan</v>
      </c>
      <c r="C681" t="s">
        <v>540</v>
      </c>
      <c r="D681" s="5">
        <v>1820</v>
      </c>
      <c r="E681" s="5">
        <v>893</v>
      </c>
      <c r="F681" s="5">
        <v>893</v>
      </c>
      <c r="G681" s="5">
        <v>3299</v>
      </c>
      <c r="H681" s="4">
        <v>58544040</v>
      </c>
      <c r="I681" s="5">
        <f>pmsurya[[#This Row],[applications]]-pmsurya[[#This Row],[installations]]</f>
        <v>927</v>
      </c>
      <c r="J681" s="6">
        <f>(pmsurya[[#This Row],[installations]]/pmsurya[[#This Row],[applications]])</f>
        <v>0.49065934065934064</v>
      </c>
    </row>
    <row r="682" spans="1:10" x14ac:dyDescent="0.3">
      <c r="A682" s="3" t="s">
        <v>508</v>
      </c>
      <c r="B682" t="str">
        <f>VLOOKUP(pmsurya[[#This Row],[state]],State!$A$2:$B$37,2,0)</f>
        <v xml:space="preserve"> Rajasthan</v>
      </c>
      <c r="C682" t="s">
        <v>541</v>
      </c>
      <c r="D682" s="5">
        <v>430</v>
      </c>
      <c r="E682" s="5">
        <v>295</v>
      </c>
      <c r="F682" s="5">
        <v>295</v>
      </c>
      <c r="G682" s="5">
        <v>1112</v>
      </c>
      <c r="H682" s="4">
        <v>22771500</v>
      </c>
      <c r="I682" s="5">
        <f>pmsurya[[#This Row],[applications]]-pmsurya[[#This Row],[installations]]</f>
        <v>135</v>
      </c>
      <c r="J682" s="6">
        <f>(pmsurya[[#This Row],[installations]]/pmsurya[[#This Row],[applications]])</f>
        <v>0.68604651162790697</v>
      </c>
    </row>
    <row r="683" spans="1:10" x14ac:dyDescent="0.3">
      <c r="A683" s="3" t="s">
        <v>508</v>
      </c>
      <c r="B683" t="str">
        <f>VLOOKUP(pmsurya[[#This Row],[state]],State!$A$2:$B$37,2,0)</f>
        <v xml:space="preserve"> Rajasthan</v>
      </c>
      <c r="C683" t="s">
        <v>542</v>
      </c>
      <c r="D683" s="5">
        <v>1345</v>
      </c>
      <c r="E683" s="5">
        <v>608</v>
      </c>
      <c r="F683" s="5">
        <v>608</v>
      </c>
      <c r="G683" s="5">
        <v>2240</v>
      </c>
      <c r="H683" s="4">
        <v>32689440</v>
      </c>
      <c r="I683" s="5">
        <f>pmsurya[[#This Row],[applications]]-pmsurya[[#This Row],[installations]]</f>
        <v>737</v>
      </c>
      <c r="J683" s="6">
        <f>(pmsurya[[#This Row],[installations]]/pmsurya[[#This Row],[applications]])</f>
        <v>0.45204460966542753</v>
      </c>
    </row>
    <row r="684" spans="1:10" x14ac:dyDescent="0.3">
      <c r="A684" s="3" t="s">
        <v>508</v>
      </c>
      <c r="B684" t="str">
        <f>VLOOKUP(pmsurya[[#This Row],[state]],State!$A$2:$B$37,2,0)</f>
        <v xml:space="preserve"> Rajasthan</v>
      </c>
      <c r="C684" t="s">
        <v>543</v>
      </c>
      <c r="D684" s="5">
        <v>14291</v>
      </c>
      <c r="E684" s="5">
        <v>8882</v>
      </c>
      <c r="F684" s="5">
        <v>8941</v>
      </c>
      <c r="G684" s="5">
        <v>36821</v>
      </c>
      <c r="H684" s="4">
        <v>563606370</v>
      </c>
      <c r="I684" s="5">
        <f>pmsurya[[#This Row],[applications]]-pmsurya[[#This Row],[installations]]</f>
        <v>5409</v>
      </c>
      <c r="J684" s="6">
        <f>(pmsurya[[#This Row],[installations]]/pmsurya[[#This Row],[applications]])</f>
        <v>0.62151004128472465</v>
      </c>
    </row>
    <row r="685" spans="1:10" x14ac:dyDescent="0.3">
      <c r="A685" s="3" t="s">
        <v>508</v>
      </c>
      <c r="B685" t="str">
        <f>VLOOKUP(pmsurya[[#This Row],[state]],State!$A$2:$B$37,2,0)</f>
        <v xml:space="preserve"> Rajasthan</v>
      </c>
      <c r="C685" t="s">
        <v>544</v>
      </c>
      <c r="D685" s="5">
        <v>3554</v>
      </c>
      <c r="E685" s="5">
        <v>1777</v>
      </c>
      <c r="F685" s="5">
        <v>1777</v>
      </c>
      <c r="G685" s="5">
        <v>6405</v>
      </c>
      <c r="H685" s="4">
        <v>116392050</v>
      </c>
      <c r="I685" s="5">
        <f>pmsurya[[#This Row],[applications]]-pmsurya[[#This Row],[installations]]</f>
        <v>1777</v>
      </c>
      <c r="J685" s="6">
        <f>(pmsurya[[#This Row],[installations]]/pmsurya[[#This Row],[applications]])</f>
        <v>0.5</v>
      </c>
    </row>
    <row r="686" spans="1:10" x14ac:dyDescent="0.3">
      <c r="A686" s="3" t="s">
        <v>508</v>
      </c>
      <c r="B686" t="str">
        <f>VLOOKUP(pmsurya[[#This Row],[state]],State!$A$2:$B$37,2,0)</f>
        <v xml:space="preserve"> Rajasthan</v>
      </c>
      <c r="C686" t="s">
        <v>545</v>
      </c>
      <c r="D686" s="5">
        <v>5013</v>
      </c>
      <c r="E686" s="5">
        <v>2883</v>
      </c>
      <c r="F686" s="5">
        <v>2883</v>
      </c>
      <c r="G686" s="5">
        <v>10817</v>
      </c>
      <c r="H686" s="4">
        <v>193538400</v>
      </c>
      <c r="I686" s="5">
        <f>pmsurya[[#This Row],[applications]]-pmsurya[[#This Row],[installations]]</f>
        <v>2130</v>
      </c>
      <c r="J686" s="6">
        <f>(pmsurya[[#This Row],[installations]]/pmsurya[[#This Row],[applications]])</f>
        <v>0.57510472770795928</v>
      </c>
    </row>
    <row r="687" spans="1:10" x14ac:dyDescent="0.3">
      <c r="A687" s="3" t="s">
        <v>508</v>
      </c>
      <c r="B687" t="str">
        <f>VLOOKUP(pmsurya[[#This Row],[state]],State!$A$2:$B$37,2,0)</f>
        <v xml:space="preserve"> Rajasthan</v>
      </c>
      <c r="C687" t="s">
        <v>546</v>
      </c>
      <c r="D687" s="5">
        <v>331</v>
      </c>
      <c r="E687" s="5">
        <v>218</v>
      </c>
      <c r="F687" s="5">
        <v>218</v>
      </c>
      <c r="G687" s="5">
        <v>887</v>
      </c>
      <c r="H687" s="4">
        <v>16663470</v>
      </c>
      <c r="I687" s="5">
        <f>pmsurya[[#This Row],[applications]]-pmsurya[[#This Row],[installations]]</f>
        <v>113</v>
      </c>
      <c r="J687" s="6">
        <f>(pmsurya[[#This Row],[installations]]/pmsurya[[#This Row],[applications]])</f>
        <v>0.65861027190332322</v>
      </c>
    </row>
    <row r="688" spans="1:10" x14ac:dyDescent="0.3">
      <c r="A688" s="3" t="s">
        <v>508</v>
      </c>
      <c r="B688" t="str">
        <f>VLOOKUP(pmsurya[[#This Row],[state]],State!$A$2:$B$37,2,0)</f>
        <v xml:space="preserve"> Rajasthan</v>
      </c>
      <c r="C688" t="s">
        <v>547</v>
      </c>
      <c r="D688" s="5">
        <v>8656</v>
      </c>
      <c r="E688" s="5">
        <v>4313</v>
      </c>
      <c r="F688" s="5">
        <v>4313</v>
      </c>
      <c r="G688" s="5">
        <v>15867</v>
      </c>
      <c r="H688" s="4">
        <v>277350660</v>
      </c>
      <c r="I688" s="5">
        <f>pmsurya[[#This Row],[applications]]-pmsurya[[#This Row],[installations]]</f>
        <v>4343</v>
      </c>
      <c r="J688" s="6">
        <f>(pmsurya[[#This Row],[installations]]/pmsurya[[#This Row],[applications]])</f>
        <v>0.4982670979667283</v>
      </c>
    </row>
    <row r="689" spans="1:10" x14ac:dyDescent="0.3">
      <c r="A689" s="3" t="s">
        <v>508</v>
      </c>
      <c r="B689" t="str">
        <f>VLOOKUP(pmsurya[[#This Row],[state]],State!$A$2:$B$37,2,0)</f>
        <v xml:space="preserve"> Rajasthan</v>
      </c>
      <c r="C689" t="s">
        <v>548</v>
      </c>
      <c r="D689" s="5">
        <v>1037</v>
      </c>
      <c r="E689" s="5">
        <v>302</v>
      </c>
      <c r="F689" s="5">
        <v>302</v>
      </c>
      <c r="G689" s="5">
        <v>1190</v>
      </c>
      <c r="H689" s="4">
        <v>20554110</v>
      </c>
      <c r="I689" s="5">
        <f>pmsurya[[#This Row],[applications]]-pmsurya[[#This Row],[installations]]</f>
        <v>735</v>
      </c>
      <c r="J689" s="6">
        <f>(pmsurya[[#This Row],[installations]]/pmsurya[[#This Row],[applications]])</f>
        <v>0.29122468659594986</v>
      </c>
    </row>
    <row r="690" spans="1:10" x14ac:dyDescent="0.3">
      <c r="A690" s="3" t="s">
        <v>508</v>
      </c>
      <c r="B690" t="str">
        <f>VLOOKUP(pmsurya[[#This Row],[state]],State!$A$2:$B$37,2,0)</f>
        <v xml:space="preserve"> Rajasthan</v>
      </c>
      <c r="C690" t="s">
        <v>549</v>
      </c>
      <c r="D690" s="5">
        <v>4030</v>
      </c>
      <c r="E690" s="5">
        <v>1644</v>
      </c>
      <c r="F690" s="5">
        <v>1644</v>
      </c>
      <c r="G690" s="5">
        <v>5491</v>
      </c>
      <c r="H690" s="4">
        <v>111252510</v>
      </c>
      <c r="I690" s="5">
        <f>pmsurya[[#This Row],[applications]]-pmsurya[[#This Row],[installations]]</f>
        <v>2386</v>
      </c>
      <c r="J690" s="6">
        <f>(pmsurya[[#This Row],[installations]]/pmsurya[[#This Row],[applications]])</f>
        <v>0.40794044665012408</v>
      </c>
    </row>
    <row r="691" spans="1:10" x14ac:dyDescent="0.3">
      <c r="A691" s="3" t="s">
        <v>508</v>
      </c>
      <c r="B691" t="str">
        <f>VLOOKUP(pmsurya[[#This Row],[state]],State!$A$2:$B$37,2,0)</f>
        <v xml:space="preserve"> Rajasthan</v>
      </c>
      <c r="C691" t="s">
        <v>550</v>
      </c>
      <c r="D691" s="5">
        <v>4560</v>
      </c>
      <c r="E691" s="5">
        <v>2363</v>
      </c>
      <c r="F691" s="5">
        <v>2363</v>
      </c>
      <c r="G691" s="5">
        <v>8537</v>
      </c>
      <c r="H691" s="4">
        <v>156893250</v>
      </c>
      <c r="I691" s="5">
        <f>pmsurya[[#This Row],[applications]]-pmsurya[[#This Row],[installations]]</f>
        <v>2197</v>
      </c>
      <c r="J691" s="6">
        <f>(pmsurya[[#This Row],[installations]]/pmsurya[[#This Row],[applications]])</f>
        <v>0.51820175438596494</v>
      </c>
    </row>
    <row r="692" spans="1:10" x14ac:dyDescent="0.3">
      <c r="A692" s="3" t="s">
        <v>508</v>
      </c>
      <c r="B692" t="str">
        <f>VLOOKUP(pmsurya[[#This Row],[state]],State!$A$2:$B$37,2,0)</f>
        <v xml:space="preserve"> Rajasthan</v>
      </c>
      <c r="C692" t="s">
        <v>551</v>
      </c>
      <c r="D692" s="5">
        <v>656</v>
      </c>
      <c r="E692" s="5">
        <v>260</v>
      </c>
      <c r="F692" s="5">
        <v>260</v>
      </c>
      <c r="G692" s="5">
        <v>1070</v>
      </c>
      <c r="H692" s="4">
        <v>17622600</v>
      </c>
      <c r="I692" s="5">
        <f>pmsurya[[#This Row],[applications]]-pmsurya[[#This Row],[installations]]</f>
        <v>396</v>
      </c>
      <c r="J692" s="6">
        <f>(pmsurya[[#This Row],[installations]]/pmsurya[[#This Row],[applications]])</f>
        <v>0.39634146341463417</v>
      </c>
    </row>
    <row r="693" spans="1:10" x14ac:dyDescent="0.3">
      <c r="A693" s="3" t="s">
        <v>508</v>
      </c>
      <c r="B693" t="str">
        <f>VLOOKUP(pmsurya[[#This Row],[state]],State!$A$2:$B$37,2,0)</f>
        <v xml:space="preserve"> Rajasthan</v>
      </c>
      <c r="C693" t="s">
        <v>552</v>
      </c>
      <c r="D693" s="5">
        <v>376</v>
      </c>
      <c r="E693" s="5">
        <v>157</v>
      </c>
      <c r="F693" s="5">
        <v>157</v>
      </c>
      <c r="G693" s="5">
        <v>635</v>
      </c>
      <c r="H693" s="4">
        <v>11076000</v>
      </c>
      <c r="I693" s="5">
        <f>pmsurya[[#This Row],[applications]]-pmsurya[[#This Row],[installations]]</f>
        <v>219</v>
      </c>
      <c r="J693" s="6">
        <f>(pmsurya[[#This Row],[installations]]/pmsurya[[#This Row],[applications]])</f>
        <v>0.41755319148936171</v>
      </c>
    </row>
    <row r="694" spans="1:10" x14ac:dyDescent="0.3">
      <c r="A694" s="3" t="s">
        <v>508</v>
      </c>
      <c r="B694" t="str">
        <f>VLOOKUP(pmsurya[[#This Row],[state]],State!$A$2:$B$37,2,0)</f>
        <v xml:space="preserve"> Rajasthan</v>
      </c>
      <c r="C694" t="s">
        <v>553</v>
      </c>
      <c r="D694" s="5">
        <v>8008</v>
      </c>
      <c r="E694" s="5">
        <v>1718</v>
      </c>
      <c r="F694" s="5">
        <v>1718</v>
      </c>
      <c r="G694" s="5">
        <v>6862</v>
      </c>
      <c r="H694" s="4">
        <v>119727810</v>
      </c>
      <c r="I694" s="5">
        <f>pmsurya[[#This Row],[applications]]-pmsurya[[#This Row],[installations]]</f>
        <v>6290</v>
      </c>
      <c r="J694" s="6">
        <f>(pmsurya[[#This Row],[installations]]/pmsurya[[#This Row],[applications]])</f>
        <v>0.21453546453546454</v>
      </c>
    </row>
    <row r="695" spans="1:10" x14ac:dyDescent="0.3">
      <c r="A695" s="3" t="s">
        <v>508</v>
      </c>
      <c r="B695" t="str">
        <f>VLOOKUP(pmsurya[[#This Row],[state]],State!$A$2:$B$37,2,0)</f>
        <v xml:space="preserve"> Rajasthan</v>
      </c>
      <c r="C695" t="s">
        <v>554</v>
      </c>
      <c r="D695" s="5">
        <v>309</v>
      </c>
      <c r="E695" s="5">
        <v>204</v>
      </c>
      <c r="F695" s="5">
        <v>204</v>
      </c>
      <c r="G695" s="5">
        <v>719</v>
      </c>
      <c r="H695" s="4">
        <v>14817420</v>
      </c>
      <c r="I695" s="5">
        <f>pmsurya[[#This Row],[applications]]-pmsurya[[#This Row],[installations]]</f>
        <v>105</v>
      </c>
      <c r="J695" s="6">
        <f>(pmsurya[[#This Row],[installations]]/pmsurya[[#This Row],[applications]])</f>
        <v>0.66019417475728159</v>
      </c>
    </row>
    <row r="696" spans="1:10" x14ac:dyDescent="0.3">
      <c r="A696" s="3" t="s">
        <v>508</v>
      </c>
      <c r="B696" t="str">
        <f>VLOOKUP(pmsurya[[#This Row],[state]],State!$A$2:$B$37,2,0)</f>
        <v xml:space="preserve"> Rajasthan</v>
      </c>
      <c r="C696" t="s">
        <v>555</v>
      </c>
      <c r="D696" s="5">
        <v>26000</v>
      </c>
      <c r="E696" s="5">
        <v>14010</v>
      </c>
      <c r="F696" s="5">
        <v>14010</v>
      </c>
      <c r="G696" s="5">
        <v>52922</v>
      </c>
      <c r="H696" s="4">
        <v>921108180</v>
      </c>
      <c r="I696" s="5">
        <f>pmsurya[[#This Row],[applications]]-pmsurya[[#This Row],[installations]]</f>
        <v>11990</v>
      </c>
      <c r="J696" s="6">
        <f>(pmsurya[[#This Row],[installations]]/pmsurya[[#This Row],[applications]])</f>
        <v>0.53884615384615386</v>
      </c>
    </row>
    <row r="697" spans="1:10" x14ac:dyDescent="0.3">
      <c r="A697" s="3" t="s">
        <v>508</v>
      </c>
      <c r="B697" t="str">
        <f>VLOOKUP(pmsurya[[#This Row],[state]],State!$A$2:$B$37,2,0)</f>
        <v xml:space="preserve"> Rajasthan</v>
      </c>
      <c r="C697" t="s">
        <v>556</v>
      </c>
      <c r="D697" s="5">
        <v>2738</v>
      </c>
      <c r="E697" s="5">
        <v>1840</v>
      </c>
      <c r="F697" s="5">
        <v>1840</v>
      </c>
      <c r="G697" s="5">
        <v>6765</v>
      </c>
      <c r="H697" s="4">
        <v>123554700</v>
      </c>
      <c r="I697" s="5">
        <f>pmsurya[[#This Row],[applications]]-pmsurya[[#This Row],[installations]]</f>
        <v>898</v>
      </c>
      <c r="J697" s="6">
        <f>(pmsurya[[#This Row],[installations]]/pmsurya[[#This Row],[applications]])</f>
        <v>0.67202337472607743</v>
      </c>
    </row>
    <row r="698" spans="1:10" x14ac:dyDescent="0.3">
      <c r="A698" s="3" t="s">
        <v>508</v>
      </c>
      <c r="B698" t="str">
        <f>VLOOKUP(pmsurya[[#This Row],[state]],State!$A$2:$B$37,2,0)</f>
        <v xml:space="preserve"> Rajasthan</v>
      </c>
      <c r="C698" t="s">
        <v>557</v>
      </c>
      <c r="D698" s="5">
        <v>4509</v>
      </c>
      <c r="E698" s="5">
        <v>2015</v>
      </c>
      <c r="F698" s="5">
        <v>2015</v>
      </c>
      <c r="G698" s="5">
        <v>7371</v>
      </c>
      <c r="H698" s="4">
        <v>129545760</v>
      </c>
      <c r="I698" s="5">
        <f>pmsurya[[#This Row],[applications]]-pmsurya[[#This Row],[installations]]</f>
        <v>2494</v>
      </c>
      <c r="J698" s="6">
        <f>(pmsurya[[#This Row],[installations]]/pmsurya[[#This Row],[applications]])</f>
        <v>0.44688400975826126</v>
      </c>
    </row>
    <row r="699" spans="1:10" x14ac:dyDescent="0.3">
      <c r="A699" s="3" t="s">
        <v>508</v>
      </c>
      <c r="B699" t="str">
        <f>VLOOKUP(pmsurya[[#This Row],[state]],State!$A$2:$B$37,2,0)</f>
        <v xml:space="preserve"> Rajasthan</v>
      </c>
      <c r="C699" t="s">
        <v>558</v>
      </c>
      <c r="D699" s="5">
        <v>15307</v>
      </c>
      <c r="E699" s="5">
        <v>9792</v>
      </c>
      <c r="F699" s="5">
        <v>11212</v>
      </c>
      <c r="G699" s="5">
        <v>38541</v>
      </c>
      <c r="H699" s="4">
        <v>700351560</v>
      </c>
      <c r="I699" s="5">
        <f>pmsurya[[#This Row],[applications]]-pmsurya[[#This Row],[installations]]</f>
        <v>5515</v>
      </c>
      <c r="J699" s="6">
        <f>(pmsurya[[#This Row],[installations]]/pmsurya[[#This Row],[applications]])</f>
        <v>0.63970732344678904</v>
      </c>
    </row>
    <row r="700" spans="1:10" x14ac:dyDescent="0.3">
      <c r="A700" s="3" t="s">
        <v>648</v>
      </c>
      <c r="B700" t="str">
        <f>VLOOKUP(pmsurya[[#This Row],[state]],State!$A$2:$B$37,2,0)</f>
        <v xml:space="preserve"> Uttar Pradesh</v>
      </c>
      <c r="C700" t="s">
        <v>649</v>
      </c>
      <c r="D700" s="5">
        <v>34252</v>
      </c>
      <c r="E700" s="5">
        <v>22101</v>
      </c>
      <c r="F700" s="5">
        <v>22163</v>
      </c>
      <c r="G700" s="5">
        <v>75539</v>
      </c>
      <c r="H700" s="4">
        <v>1282723350</v>
      </c>
      <c r="I700" s="5">
        <f>pmsurya[[#This Row],[applications]]-pmsurya[[#This Row],[installations]]</f>
        <v>12151</v>
      </c>
      <c r="J700" s="6">
        <f>(pmsurya[[#This Row],[installations]]/pmsurya[[#This Row],[applications]])</f>
        <v>0.64524699287632836</v>
      </c>
    </row>
    <row r="701" spans="1:10" x14ac:dyDescent="0.3">
      <c r="A701" s="3" t="s">
        <v>648</v>
      </c>
      <c r="B701" t="str">
        <f>VLOOKUP(pmsurya[[#This Row],[state]],State!$A$2:$B$37,2,0)</f>
        <v xml:space="preserve"> Uttar Pradesh</v>
      </c>
      <c r="C701" t="s">
        <v>650</v>
      </c>
      <c r="D701" s="5">
        <v>18575</v>
      </c>
      <c r="E701" s="5">
        <v>10489</v>
      </c>
      <c r="F701" s="5">
        <v>10595</v>
      </c>
      <c r="G701" s="5">
        <v>35522</v>
      </c>
      <c r="H701" s="4">
        <v>665760870</v>
      </c>
      <c r="I701" s="5">
        <f>pmsurya[[#This Row],[applications]]-pmsurya[[#This Row],[installations]]</f>
        <v>8086</v>
      </c>
      <c r="J701" s="6">
        <f>(pmsurya[[#This Row],[installations]]/pmsurya[[#This Row],[applications]])</f>
        <v>0.56468371467025569</v>
      </c>
    </row>
    <row r="702" spans="1:10" x14ac:dyDescent="0.3">
      <c r="A702" s="3" t="s">
        <v>648</v>
      </c>
      <c r="B702" t="str">
        <f>VLOOKUP(pmsurya[[#This Row],[state]],State!$A$2:$B$37,2,0)</f>
        <v xml:space="preserve"> Uttar Pradesh</v>
      </c>
      <c r="C702" t="s">
        <v>651</v>
      </c>
      <c r="D702" s="5">
        <v>9820</v>
      </c>
      <c r="E702" s="5">
        <v>5396</v>
      </c>
      <c r="F702" s="5">
        <v>5396</v>
      </c>
      <c r="G702" s="5">
        <v>17091</v>
      </c>
      <c r="H702" s="4">
        <v>336199200</v>
      </c>
      <c r="I702" s="5">
        <f>pmsurya[[#This Row],[applications]]-pmsurya[[#This Row],[installations]]</f>
        <v>4424</v>
      </c>
      <c r="J702" s="6">
        <f>(pmsurya[[#This Row],[installations]]/pmsurya[[#This Row],[applications]])</f>
        <v>0.54949083503054985</v>
      </c>
    </row>
    <row r="703" spans="1:10" x14ac:dyDescent="0.3">
      <c r="A703" s="3" t="s">
        <v>648</v>
      </c>
      <c r="B703" t="str">
        <f>VLOOKUP(pmsurya[[#This Row],[state]],State!$A$2:$B$37,2,0)</f>
        <v xml:space="preserve"> Uttar Pradesh</v>
      </c>
      <c r="C703" t="s">
        <v>652</v>
      </c>
      <c r="D703" s="5">
        <v>9661</v>
      </c>
      <c r="E703" s="5">
        <v>4597</v>
      </c>
      <c r="F703" s="5">
        <v>4597</v>
      </c>
      <c r="G703" s="5">
        <v>14856</v>
      </c>
      <c r="H703" s="4">
        <v>283745940</v>
      </c>
      <c r="I703" s="5">
        <f>pmsurya[[#This Row],[applications]]-pmsurya[[#This Row],[installations]]</f>
        <v>5064</v>
      </c>
      <c r="J703" s="6">
        <f>(pmsurya[[#This Row],[installations]]/pmsurya[[#This Row],[applications]])</f>
        <v>0.47583065935203395</v>
      </c>
    </row>
    <row r="704" spans="1:10" x14ac:dyDescent="0.3">
      <c r="A704" s="3" t="s">
        <v>648</v>
      </c>
      <c r="B704" t="str">
        <f>VLOOKUP(pmsurya[[#This Row],[state]],State!$A$2:$B$37,2,0)</f>
        <v xml:space="preserve"> Uttar Pradesh</v>
      </c>
      <c r="C704" t="s">
        <v>653</v>
      </c>
      <c r="D704" s="5">
        <v>5025</v>
      </c>
      <c r="E704" s="5">
        <v>1732</v>
      </c>
      <c r="F704" s="5">
        <v>1732</v>
      </c>
      <c r="G704" s="5">
        <v>5396</v>
      </c>
      <c r="H704" s="4">
        <v>97750050</v>
      </c>
      <c r="I704" s="5">
        <f>pmsurya[[#This Row],[applications]]-pmsurya[[#This Row],[installations]]</f>
        <v>3293</v>
      </c>
      <c r="J704" s="6">
        <f>(pmsurya[[#This Row],[installations]]/pmsurya[[#This Row],[applications]])</f>
        <v>0.3446766169154229</v>
      </c>
    </row>
    <row r="705" spans="1:10" x14ac:dyDescent="0.3">
      <c r="A705" s="3" t="s">
        <v>648</v>
      </c>
      <c r="B705" t="str">
        <f>VLOOKUP(pmsurya[[#This Row],[state]],State!$A$2:$B$37,2,0)</f>
        <v xml:space="preserve"> Uttar Pradesh</v>
      </c>
      <c r="C705" t="s">
        <v>654</v>
      </c>
      <c r="D705" s="5">
        <v>5671</v>
      </c>
      <c r="E705" s="5">
        <v>3433</v>
      </c>
      <c r="F705" s="5">
        <v>3433</v>
      </c>
      <c r="G705" s="5">
        <v>11226</v>
      </c>
      <c r="H705" s="4">
        <v>221922510</v>
      </c>
      <c r="I705" s="5">
        <f>pmsurya[[#This Row],[applications]]-pmsurya[[#This Row],[installations]]</f>
        <v>2238</v>
      </c>
      <c r="J705" s="6">
        <f>(pmsurya[[#This Row],[installations]]/pmsurya[[#This Row],[applications]])</f>
        <v>0.60536060659495683</v>
      </c>
    </row>
    <row r="706" spans="1:10" x14ac:dyDescent="0.3">
      <c r="A706" s="3" t="s">
        <v>648</v>
      </c>
      <c r="B706" t="str">
        <f>VLOOKUP(pmsurya[[#This Row],[state]],State!$A$2:$B$37,2,0)</f>
        <v xml:space="preserve"> Uttar Pradesh</v>
      </c>
      <c r="C706" t="s">
        <v>655</v>
      </c>
      <c r="D706" s="5">
        <v>14233</v>
      </c>
      <c r="E706" s="5">
        <v>7893</v>
      </c>
      <c r="F706" s="5">
        <v>8042</v>
      </c>
      <c r="G706" s="5">
        <v>26023</v>
      </c>
      <c r="H706" s="4">
        <v>499818942</v>
      </c>
      <c r="I706" s="5">
        <f>pmsurya[[#This Row],[applications]]-pmsurya[[#This Row],[installations]]</f>
        <v>6340</v>
      </c>
      <c r="J706" s="6">
        <f>(pmsurya[[#This Row],[installations]]/pmsurya[[#This Row],[applications]])</f>
        <v>0.55455631279421058</v>
      </c>
    </row>
    <row r="707" spans="1:10" x14ac:dyDescent="0.3">
      <c r="A707" s="3" t="s">
        <v>648</v>
      </c>
      <c r="B707" t="str">
        <f>VLOOKUP(pmsurya[[#This Row],[state]],State!$A$2:$B$37,2,0)</f>
        <v xml:space="preserve"> Uttar Pradesh</v>
      </c>
      <c r="C707" t="s">
        <v>656</v>
      </c>
      <c r="D707" s="5">
        <v>9368</v>
      </c>
      <c r="E707" s="5">
        <v>3937</v>
      </c>
      <c r="F707" s="5">
        <v>3937</v>
      </c>
      <c r="G707" s="5">
        <v>13108</v>
      </c>
      <c r="H707" s="4">
        <v>253575120</v>
      </c>
      <c r="I707" s="5">
        <f>pmsurya[[#This Row],[applications]]-pmsurya[[#This Row],[installations]]</f>
        <v>5431</v>
      </c>
      <c r="J707" s="6">
        <f>(pmsurya[[#This Row],[installations]]/pmsurya[[#This Row],[applications]])</f>
        <v>0.42026046114432108</v>
      </c>
    </row>
    <row r="708" spans="1:10" x14ac:dyDescent="0.3">
      <c r="A708" s="3" t="s">
        <v>648</v>
      </c>
      <c r="B708" t="str">
        <f>VLOOKUP(pmsurya[[#This Row],[state]],State!$A$2:$B$37,2,0)</f>
        <v xml:space="preserve"> Uttar Pradesh</v>
      </c>
      <c r="C708" t="s">
        <v>657</v>
      </c>
      <c r="D708" s="5">
        <v>3547</v>
      </c>
      <c r="E708" s="5">
        <v>1704</v>
      </c>
      <c r="F708" s="5">
        <v>1704</v>
      </c>
      <c r="G708" s="5">
        <v>5264</v>
      </c>
      <c r="H708" s="4">
        <v>106967130</v>
      </c>
      <c r="I708" s="5">
        <f>pmsurya[[#This Row],[applications]]-pmsurya[[#This Row],[installations]]</f>
        <v>1843</v>
      </c>
      <c r="J708" s="6">
        <f>(pmsurya[[#This Row],[installations]]/pmsurya[[#This Row],[applications]])</f>
        <v>0.48040597688187203</v>
      </c>
    </row>
    <row r="709" spans="1:10" x14ac:dyDescent="0.3">
      <c r="A709" s="3" t="s">
        <v>648</v>
      </c>
      <c r="B709" t="str">
        <f>VLOOKUP(pmsurya[[#This Row],[state]],State!$A$2:$B$37,2,0)</f>
        <v xml:space="preserve"> Uttar Pradesh</v>
      </c>
      <c r="C709" t="s">
        <v>658</v>
      </c>
      <c r="D709" s="5">
        <v>7400</v>
      </c>
      <c r="E709" s="5">
        <v>3844</v>
      </c>
      <c r="F709" s="5">
        <v>3844</v>
      </c>
      <c r="G709" s="5">
        <v>13095</v>
      </c>
      <c r="H709" s="4">
        <v>250947420</v>
      </c>
      <c r="I709" s="5">
        <f>pmsurya[[#This Row],[applications]]-pmsurya[[#This Row],[installations]]</f>
        <v>3556</v>
      </c>
      <c r="J709" s="6">
        <f>(pmsurya[[#This Row],[installations]]/pmsurya[[#This Row],[applications]])</f>
        <v>0.51945945945945948</v>
      </c>
    </row>
    <row r="710" spans="1:10" x14ac:dyDescent="0.3">
      <c r="A710" s="3" t="s">
        <v>648</v>
      </c>
      <c r="B710" t="str">
        <f>VLOOKUP(pmsurya[[#This Row],[state]],State!$A$2:$B$37,2,0)</f>
        <v xml:space="preserve"> Uttar Pradesh</v>
      </c>
      <c r="C710" t="s">
        <v>659</v>
      </c>
      <c r="D710" s="5">
        <v>6574</v>
      </c>
      <c r="E710" s="5">
        <v>1724</v>
      </c>
      <c r="F710" s="5">
        <v>1724</v>
      </c>
      <c r="G710" s="5">
        <v>5604</v>
      </c>
      <c r="H710" s="4">
        <v>109929600</v>
      </c>
      <c r="I710" s="5">
        <f>pmsurya[[#This Row],[applications]]-pmsurya[[#This Row],[installations]]</f>
        <v>4850</v>
      </c>
      <c r="J710" s="6">
        <f>(pmsurya[[#This Row],[installations]]/pmsurya[[#This Row],[applications]])</f>
        <v>0.26224520839671434</v>
      </c>
    </row>
    <row r="711" spans="1:10" x14ac:dyDescent="0.3">
      <c r="A711" s="3" t="s">
        <v>648</v>
      </c>
      <c r="B711" t="str">
        <f>VLOOKUP(pmsurya[[#This Row],[state]],State!$A$2:$B$37,2,0)</f>
        <v xml:space="preserve"> Uttar Pradesh</v>
      </c>
      <c r="C711" t="s">
        <v>660</v>
      </c>
      <c r="D711" s="5">
        <v>3381</v>
      </c>
      <c r="E711" s="5">
        <v>1524</v>
      </c>
      <c r="F711" s="5">
        <v>1524</v>
      </c>
      <c r="G711" s="5">
        <v>4972</v>
      </c>
      <c r="H711" s="4">
        <v>99009300</v>
      </c>
      <c r="I711" s="5">
        <f>pmsurya[[#This Row],[applications]]-pmsurya[[#This Row],[installations]]</f>
        <v>1857</v>
      </c>
      <c r="J711" s="6">
        <f>(pmsurya[[#This Row],[installations]]/pmsurya[[#This Row],[applications]])</f>
        <v>0.45075421472937</v>
      </c>
    </row>
    <row r="712" spans="1:10" x14ac:dyDescent="0.3">
      <c r="A712" s="3" t="s">
        <v>648</v>
      </c>
      <c r="B712" t="str">
        <f>VLOOKUP(pmsurya[[#This Row],[state]],State!$A$2:$B$37,2,0)</f>
        <v xml:space="preserve"> Uttar Pradesh</v>
      </c>
      <c r="C712" t="s">
        <v>661</v>
      </c>
      <c r="D712" s="5">
        <v>3655</v>
      </c>
      <c r="E712" s="5">
        <v>2421</v>
      </c>
      <c r="F712" s="5">
        <v>2421</v>
      </c>
      <c r="G712" s="5">
        <v>8085</v>
      </c>
      <c r="H712" s="4">
        <v>161264820</v>
      </c>
      <c r="I712" s="5">
        <f>pmsurya[[#This Row],[applications]]-pmsurya[[#This Row],[installations]]</f>
        <v>1234</v>
      </c>
      <c r="J712" s="6">
        <f>(pmsurya[[#This Row],[installations]]/pmsurya[[#This Row],[applications]])</f>
        <v>0.66238030095759237</v>
      </c>
    </row>
    <row r="713" spans="1:10" x14ac:dyDescent="0.3">
      <c r="A713" s="3" t="s">
        <v>648</v>
      </c>
      <c r="B713" t="str">
        <f>VLOOKUP(pmsurya[[#This Row],[state]],State!$A$2:$B$37,2,0)</f>
        <v xml:space="preserve"> Uttar Pradesh</v>
      </c>
      <c r="C713" t="s">
        <v>662</v>
      </c>
      <c r="D713" s="5">
        <v>17640</v>
      </c>
      <c r="E713" s="5">
        <v>11398</v>
      </c>
      <c r="F713" s="5">
        <v>11399</v>
      </c>
      <c r="G713" s="5">
        <v>38036</v>
      </c>
      <c r="H713" s="4">
        <v>769940370</v>
      </c>
      <c r="I713" s="5">
        <f>pmsurya[[#This Row],[applications]]-pmsurya[[#This Row],[installations]]</f>
        <v>6242</v>
      </c>
      <c r="J713" s="6">
        <f>(pmsurya[[#This Row],[installations]]/pmsurya[[#This Row],[applications]])</f>
        <v>0.64614512471655328</v>
      </c>
    </row>
    <row r="714" spans="1:10" x14ac:dyDescent="0.3">
      <c r="A714" s="3" t="s">
        <v>648</v>
      </c>
      <c r="B714" t="str">
        <f>VLOOKUP(pmsurya[[#This Row],[state]],State!$A$2:$B$37,2,0)</f>
        <v xml:space="preserve"> Uttar Pradesh</v>
      </c>
      <c r="C714" t="s">
        <v>663</v>
      </c>
      <c r="D714" s="5">
        <v>41412</v>
      </c>
      <c r="E714" s="5">
        <v>25044</v>
      </c>
      <c r="F714" s="5">
        <v>25078</v>
      </c>
      <c r="G714" s="5">
        <v>83497</v>
      </c>
      <c r="H714" s="4">
        <v>1648929870</v>
      </c>
      <c r="I714" s="5">
        <f>pmsurya[[#This Row],[applications]]-pmsurya[[#This Row],[installations]]</f>
        <v>16368</v>
      </c>
      <c r="J714" s="6">
        <f>(pmsurya[[#This Row],[installations]]/pmsurya[[#This Row],[applications]])</f>
        <v>0.6047522457258766</v>
      </c>
    </row>
    <row r="715" spans="1:10" x14ac:dyDescent="0.3">
      <c r="A715" s="3" t="s">
        <v>648</v>
      </c>
      <c r="B715" t="str">
        <f>VLOOKUP(pmsurya[[#This Row],[state]],State!$A$2:$B$37,2,0)</f>
        <v xml:space="preserve"> Uttar Pradesh</v>
      </c>
      <c r="C715" t="s">
        <v>664</v>
      </c>
      <c r="D715" s="5">
        <v>7751</v>
      </c>
      <c r="E715" s="5">
        <v>3482</v>
      </c>
      <c r="F715" s="5">
        <v>3887</v>
      </c>
      <c r="G715" s="5">
        <v>11300</v>
      </c>
      <c r="H715" s="4">
        <v>207519660</v>
      </c>
      <c r="I715" s="5">
        <f>pmsurya[[#This Row],[applications]]-pmsurya[[#This Row],[installations]]</f>
        <v>4269</v>
      </c>
      <c r="J715" s="6">
        <f>(pmsurya[[#This Row],[installations]]/pmsurya[[#This Row],[applications]])</f>
        <v>0.44923235711521092</v>
      </c>
    </row>
    <row r="716" spans="1:10" x14ac:dyDescent="0.3">
      <c r="A716" s="3" t="s">
        <v>648</v>
      </c>
      <c r="B716" t="str">
        <f>VLOOKUP(pmsurya[[#This Row],[state]],State!$A$2:$B$37,2,0)</f>
        <v xml:space="preserve"> Uttar Pradesh</v>
      </c>
      <c r="C716" t="s">
        <v>665</v>
      </c>
      <c r="D716" s="5">
        <v>5654</v>
      </c>
      <c r="E716" s="5">
        <v>2012</v>
      </c>
      <c r="F716" s="5">
        <v>2012</v>
      </c>
      <c r="G716" s="5">
        <v>6233</v>
      </c>
      <c r="H716" s="4">
        <v>116747070</v>
      </c>
      <c r="I716" s="5">
        <f>pmsurya[[#This Row],[applications]]-pmsurya[[#This Row],[installations]]</f>
        <v>3642</v>
      </c>
      <c r="J716" s="6">
        <f>(pmsurya[[#This Row],[installations]]/pmsurya[[#This Row],[applications]])</f>
        <v>0.35585426246904844</v>
      </c>
    </row>
    <row r="717" spans="1:10" x14ac:dyDescent="0.3">
      <c r="A717" s="3" t="s">
        <v>648</v>
      </c>
      <c r="B717" t="str">
        <f>VLOOKUP(pmsurya[[#This Row],[state]],State!$A$2:$B$37,2,0)</f>
        <v xml:space="preserve"> Uttar Pradesh</v>
      </c>
      <c r="C717" t="s">
        <v>666</v>
      </c>
      <c r="D717" s="5">
        <v>11177</v>
      </c>
      <c r="E717" s="5">
        <v>5799</v>
      </c>
      <c r="F717" s="5">
        <v>5885</v>
      </c>
      <c r="G717" s="5">
        <v>18651</v>
      </c>
      <c r="H717" s="4">
        <v>356284440</v>
      </c>
      <c r="I717" s="5">
        <f>pmsurya[[#This Row],[applications]]-pmsurya[[#This Row],[installations]]</f>
        <v>5378</v>
      </c>
      <c r="J717" s="6">
        <f>(pmsurya[[#This Row],[installations]]/pmsurya[[#This Row],[applications]])</f>
        <v>0.51883331842175895</v>
      </c>
    </row>
    <row r="718" spans="1:10" x14ac:dyDescent="0.3">
      <c r="A718" s="3" t="s">
        <v>648</v>
      </c>
      <c r="B718" t="str">
        <f>VLOOKUP(pmsurya[[#This Row],[state]],State!$A$2:$B$37,2,0)</f>
        <v xml:space="preserve"> Uttar Pradesh</v>
      </c>
      <c r="C718" t="s">
        <v>667</v>
      </c>
      <c r="D718" s="5">
        <v>5718</v>
      </c>
      <c r="E718" s="5">
        <v>2178</v>
      </c>
      <c r="F718" s="5">
        <v>2178</v>
      </c>
      <c r="G718" s="5">
        <v>6797</v>
      </c>
      <c r="H718" s="4">
        <v>125922540</v>
      </c>
      <c r="I718" s="5">
        <f>pmsurya[[#This Row],[applications]]-pmsurya[[#This Row],[installations]]</f>
        <v>3540</v>
      </c>
      <c r="J718" s="6">
        <f>(pmsurya[[#This Row],[installations]]/pmsurya[[#This Row],[applications]])</f>
        <v>0.38090241343126968</v>
      </c>
    </row>
    <row r="719" spans="1:10" x14ac:dyDescent="0.3">
      <c r="A719" s="3" t="s">
        <v>648</v>
      </c>
      <c r="B719" t="str">
        <f>VLOOKUP(pmsurya[[#This Row],[state]],State!$A$2:$B$37,2,0)</f>
        <v xml:space="preserve"> Uttar Pradesh</v>
      </c>
      <c r="C719" t="s">
        <v>668</v>
      </c>
      <c r="D719" s="5">
        <v>9379</v>
      </c>
      <c r="E719" s="5">
        <v>3443</v>
      </c>
      <c r="F719" s="5">
        <v>3443</v>
      </c>
      <c r="G719" s="5">
        <v>11280</v>
      </c>
      <c r="H719" s="4">
        <v>204985260</v>
      </c>
      <c r="I719" s="5">
        <f>pmsurya[[#This Row],[applications]]-pmsurya[[#This Row],[installations]]</f>
        <v>5936</v>
      </c>
      <c r="J719" s="6">
        <f>(pmsurya[[#This Row],[installations]]/pmsurya[[#This Row],[applications]])</f>
        <v>0.36709670540569356</v>
      </c>
    </row>
    <row r="720" spans="1:10" x14ac:dyDescent="0.3">
      <c r="A720" s="3" t="s">
        <v>648</v>
      </c>
      <c r="B720" t="str">
        <f>VLOOKUP(pmsurya[[#This Row],[state]],State!$A$2:$B$37,2,0)</f>
        <v xml:space="preserve"> Uttar Pradesh</v>
      </c>
      <c r="C720" t="s">
        <v>669</v>
      </c>
      <c r="D720" s="5">
        <v>10982</v>
      </c>
      <c r="E720" s="5">
        <v>4868</v>
      </c>
      <c r="F720" s="5">
        <v>4868</v>
      </c>
      <c r="G720" s="5">
        <v>15348</v>
      </c>
      <c r="H720" s="4">
        <v>297453030</v>
      </c>
      <c r="I720" s="5">
        <f>pmsurya[[#This Row],[applications]]-pmsurya[[#This Row],[installations]]</f>
        <v>6114</v>
      </c>
      <c r="J720" s="6">
        <f>(pmsurya[[#This Row],[installations]]/pmsurya[[#This Row],[applications]])</f>
        <v>0.44327080677472225</v>
      </c>
    </row>
    <row r="721" spans="1:10" x14ac:dyDescent="0.3">
      <c r="A721" s="3" t="s">
        <v>648</v>
      </c>
      <c r="B721" t="str">
        <f>VLOOKUP(pmsurya[[#This Row],[state]],State!$A$2:$B$37,2,0)</f>
        <v xml:space="preserve"> Uttar Pradesh</v>
      </c>
      <c r="C721" t="s">
        <v>670</v>
      </c>
      <c r="D721" s="5">
        <v>2673</v>
      </c>
      <c r="E721" s="5">
        <v>1520</v>
      </c>
      <c r="F721" s="5">
        <v>1520</v>
      </c>
      <c r="G721" s="5">
        <v>4946</v>
      </c>
      <c r="H721" s="4">
        <v>96970860</v>
      </c>
      <c r="I721" s="5">
        <f>pmsurya[[#This Row],[applications]]-pmsurya[[#This Row],[installations]]</f>
        <v>1153</v>
      </c>
      <c r="J721" s="6">
        <f>(pmsurya[[#This Row],[installations]]/pmsurya[[#This Row],[applications]])</f>
        <v>0.56864945753834639</v>
      </c>
    </row>
    <row r="722" spans="1:10" x14ac:dyDescent="0.3">
      <c r="A722" s="3" t="s">
        <v>648</v>
      </c>
      <c r="B722" t="str">
        <f>VLOOKUP(pmsurya[[#This Row],[state]],State!$A$2:$B$37,2,0)</f>
        <v xml:space="preserve"> Uttar Pradesh</v>
      </c>
      <c r="C722" t="s">
        <v>671</v>
      </c>
      <c r="D722" s="5">
        <v>4790</v>
      </c>
      <c r="E722" s="5">
        <v>2154</v>
      </c>
      <c r="F722" s="5">
        <v>2154</v>
      </c>
      <c r="G722" s="5">
        <v>7202</v>
      </c>
      <c r="H722" s="4">
        <v>138855900</v>
      </c>
      <c r="I722" s="5">
        <f>pmsurya[[#This Row],[applications]]-pmsurya[[#This Row],[installations]]</f>
        <v>2636</v>
      </c>
      <c r="J722" s="6">
        <f>(pmsurya[[#This Row],[installations]]/pmsurya[[#This Row],[applications]])</f>
        <v>0.44968684759916494</v>
      </c>
    </row>
    <row r="723" spans="1:10" x14ac:dyDescent="0.3">
      <c r="A723" s="3" t="s">
        <v>648</v>
      </c>
      <c r="B723" t="str">
        <f>VLOOKUP(pmsurya[[#This Row],[state]],State!$A$2:$B$37,2,0)</f>
        <v xml:space="preserve"> Uttar Pradesh</v>
      </c>
      <c r="C723" t="s">
        <v>672</v>
      </c>
      <c r="D723" s="5">
        <v>4576</v>
      </c>
      <c r="E723" s="5">
        <v>2470</v>
      </c>
      <c r="F723" s="5">
        <v>2470</v>
      </c>
      <c r="G723" s="5">
        <v>8147</v>
      </c>
      <c r="H723" s="4">
        <v>158559750</v>
      </c>
      <c r="I723" s="5">
        <f>pmsurya[[#This Row],[applications]]-pmsurya[[#This Row],[installations]]</f>
        <v>2106</v>
      </c>
      <c r="J723" s="6">
        <f>(pmsurya[[#This Row],[installations]]/pmsurya[[#This Row],[applications]])</f>
        <v>0.53977272727272729</v>
      </c>
    </row>
    <row r="724" spans="1:10" x14ac:dyDescent="0.3">
      <c r="A724" s="3" t="s">
        <v>648</v>
      </c>
      <c r="B724" t="str">
        <f>VLOOKUP(pmsurya[[#This Row],[state]],State!$A$2:$B$37,2,0)</f>
        <v xml:space="preserve"> Uttar Pradesh</v>
      </c>
      <c r="C724" t="s">
        <v>673</v>
      </c>
      <c r="D724" s="5">
        <v>8477</v>
      </c>
      <c r="E724" s="5">
        <v>5573</v>
      </c>
      <c r="F724" s="5">
        <v>5573</v>
      </c>
      <c r="G724" s="5">
        <v>19124</v>
      </c>
      <c r="H724" s="4">
        <v>380027400</v>
      </c>
      <c r="I724" s="5">
        <f>pmsurya[[#This Row],[applications]]-pmsurya[[#This Row],[installations]]</f>
        <v>2904</v>
      </c>
      <c r="J724" s="6">
        <f>(pmsurya[[#This Row],[installations]]/pmsurya[[#This Row],[applications]])</f>
        <v>0.65742597617081511</v>
      </c>
    </row>
    <row r="725" spans="1:10" x14ac:dyDescent="0.3">
      <c r="A725" s="3" t="s">
        <v>648</v>
      </c>
      <c r="B725" t="str">
        <f>VLOOKUP(pmsurya[[#This Row],[state]],State!$A$2:$B$37,2,0)</f>
        <v xml:space="preserve"> Uttar Pradesh</v>
      </c>
      <c r="C725" t="s">
        <v>674</v>
      </c>
      <c r="D725" s="5">
        <v>9851</v>
      </c>
      <c r="E725" s="5">
        <v>5544</v>
      </c>
      <c r="F725" s="5">
        <v>5544</v>
      </c>
      <c r="G725" s="5">
        <v>17767</v>
      </c>
      <c r="H725" s="4">
        <v>339743640</v>
      </c>
      <c r="I725" s="5">
        <f>pmsurya[[#This Row],[applications]]-pmsurya[[#This Row],[installations]]</f>
        <v>4307</v>
      </c>
      <c r="J725" s="6">
        <f>(pmsurya[[#This Row],[installations]]/pmsurya[[#This Row],[applications]])</f>
        <v>0.56278550400974525</v>
      </c>
    </row>
    <row r="726" spans="1:10" x14ac:dyDescent="0.3">
      <c r="A726" s="3" t="s">
        <v>648</v>
      </c>
      <c r="B726" t="str">
        <f>VLOOKUP(pmsurya[[#This Row],[state]],State!$A$2:$B$37,2,0)</f>
        <v xml:space="preserve"> Uttar Pradesh</v>
      </c>
      <c r="C726" t="s">
        <v>675</v>
      </c>
      <c r="D726" s="5">
        <v>7821</v>
      </c>
      <c r="E726" s="5">
        <v>4663</v>
      </c>
      <c r="F726" s="5">
        <v>4663</v>
      </c>
      <c r="G726" s="5">
        <v>15180</v>
      </c>
      <c r="H726" s="4">
        <v>282157530</v>
      </c>
      <c r="I726" s="5">
        <f>pmsurya[[#This Row],[applications]]-pmsurya[[#This Row],[installations]]</f>
        <v>3158</v>
      </c>
      <c r="J726" s="6">
        <f>(pmsurya[[#This Row],[installations]]/pmsurya[[#This Row],[applications]])</f>
        <v>0.59621531773430503</v>
      </c>
    </row>
    <row r="727" spans="1:10" x14ac:dyDescent="0.3">
      <c r="A727" s="3" t="s">
        <v>648</v>
      </c>
      <c r="B727" t="str">
        <f>VLOOKUP(pmsurya[[#This Row],[state]],State!$A$2:$B$37,2,0)</f>
        <v xml:space="preserve"> Uttar Pradesh</v>
      </c>
      <c r="C727" t="s">
        <v>676</v>
      </c>
      <c r="D727" s="5">
        <v>14483</v>
      </c>
      <c r="E727" s="5">
        <v>6944</v>
      </c>
      <c r="F727" s="5">
        <v>6944</v>
      </c>
      <c r="G727" s="5">
        <v>22550</v>
      </c>
      <c r="H727" s="4">
        <v>423769020</v>
      </c>
      <c r="I727" s="5">
        <f>pmsurya[[#This Row],[applications]]-pmsurya[[#This Row],[installations]]</f>
        <v>7539</v>
      </c>
      <c r="J727" s="6">
        <f>(pmsurya[[#This Row],[installations]]/pmsurya[[#This Row],[applications]])</f>
        <v>0.47945867568873851</v>
      </c>
    </row>
    <row r="728" spans="1:10" x14ac:dyDescent="0.3">
      <c r="A728" s="3" t="s">
        <v>648</v>
      </c>
      <c r="B728" t="str">
        <f>VLOOKUP(pmsurya[[#This Row],[state]],State!$A$2:$B$37,2,0)</f>
        <v xml:space="preserve"> Uttar Pradesh</v>
      </c>
      <c r="C728" t="s">
        <v>677</v>
      </c>
      <c r="D728" s="5">
        <v>5297</v>
      </c>
      <c r="E728" s="5">
        <v>3039</v>
      </c>
      <c r="F728" s="5">
        <v>4557</v>
      </c>
      <c r="G728" s="5">
        <v>14896</v>
      </c>
      <c r="H728" s="4">
        <v>208053120</v>
      </c>
      <c r="I728" s="5">
        <f>pmsurya[[#This Row],[applications]]-pmsurya[[#This Row],[installations]]</f>
        <v>2258</v>
      </c>
      <c r="J728" s="6">
        <f>(pmsurya[[#This Row],[installations]]/pmsurya[[#This Row],[applications]])</f>
        <v>0.57372097413630352</v>
      </c>
    </row>
    <row r="729" spans="1:10" x14ac:dyDescent="0.3">
      <c r="A729" s="3" t="s">
        <v>648</v>
      </c>
      <c r="B729" t="str">
        <f>VLOOKUP(pmsurya[[#This Row],[state]],State!$A$2:$B$37,2,0)</f>
        <v xml:space="preserve"> Uttar Pradesh</v>
      </c>
      <c r="C729" t="s">
        <v>678</v>
      </c>
      <c r="D729" s="5">
        <v>12880</v>
      </c>
      <c r="E729" s="5">
        <v>7257</v>
      </c>
      <c r="F729" s="5">
        <v>7459</v>
      </c>
      <c r="G729" s="5">
        <v>28186</v>
      </c>
      <c r="H729" s="4">
        <v>477512910</v>
      </c>
      <c r="I729" s="5">
        <f>pmsurya[[#This Row],[applications]]-pmsurya[[#This Row],[installations]]</f>
        <v>5623</v>
      </c>
      <c r="J729" s="6">
        <f>(pmsurya[[#This Row],[installations]]/pmsurya[[#This Row],[applications]])</f>
        <v>0.5634316770186335</v>
      </c>
    </row>
    <row r="730" spans="1:10" x14ac:dyDescent="0.3">
      <c r="A730" s="3" t="s">
        <v>648</v>
      </c>
      <c r="B730" t="str">
        <f>VLOOKUP(pmsurya[[#This Row],[state]],State!$A$2:$B$37,2,0)</f>
        <v xml:space="preserve"> Uttar Pradesh</v>
      </c>
      <c r="C730" t="s">
        <v>679</v>
      </c>
      <c r="D730" s="5">
        <v>6987</v>
      </c>
      <c r="E730" s="5">
        <v>3640</v>
      </c>
      <c r="F730" s="5">
        <v>3640</v>
      </c>
      <c r="G730" s="5">
        <v>11836</v>
      </c>
      <c r="H730" s="4">
        <v>234741330</v>
      </c>
      <c r="I730" s="5">
        <f>pmsurya[[#This Row],[applications]]-pmsurya[[#This Row],[installations]]</f>
        <v>3347</v>
      </c>
      <c r="J730" s="6">
        <f>(pmsurya[[#This Row],[installations]]/pmsurya[[#This Row],[applications]])</f>
        <v>0.5209675110920281</v>
      </c>
    </row>
    <row r="731" spans="1:10" x14ac:dyDescent="0.3">
      <c r="A731" s="3" t="s">
        <v>648</v>
      </c>
      <c r="B731" t="str">
        <f>VLOOKUP(pmsurya[[#This Row],[state]],State!$A$2:$B$37,2,0)</f>
        <v xml:space="preserve"> Uttar Pradesh</v>
      </c>
      <c r="C731" t="s">
        <v>680</v>
      </c>
      <c r="D731" s="5">
        <v>4551</v>
      </c>
      <c r="E731" s="5">
        <v>2396</v>
      </c>
      <c r="F731" s="5">
        <v>2396</v>
      </c>
      <c r="G731" s="5">
        <v>8002</v>
      </c>
      <c r="H731" s="4">
        <v>148194150</v>
      </c>
      <c r="I731" s="5">
        <f>pmsurya[[#This Row],[applications]]-pmsurya[[#This Row],[installations]]</f>
        <v>2155</v>
      </c>
      <c r="J731" s="6">
        <f>(pmsurya[[#This Row],[installations]]/pmsurya[[#This Row],[applications]])</f>
        <v>0.52647769720940452</v>
      </c>
    </row>
    <row r="732" spans="1:10" x14ac:dyDescent="0.3">
      <c r="A732" s="3" t="s">
        <v>648</v>
      </c>
      <c r="B732" t="str">
        <f>VLOOKUP(pmsurya[[#This Row],[state]],State!$A$2:$B$37,2,0)</f>
        <v xml:space="preserve"> Uttar Pradesh</v>
      </c>
      <c r="C732" t="s">
        <v>681</v>
      </c>
      <c r="D732" s="5">
        <v>20700</v>
      </c>
      <c r="E732" s="5">
        <v>12152</v>
      </c>
      <c r="F732" s="5">
        <v>12152</v>
      </c>
      <c r="G732" s="5">
        <v>42849</v>
      </c>
      <c r="H732" s="4">
        <v>787431510</v>
      </c>
      <c r="I732" s="5">
        <f>pmsurya[[#This Row],[applications]]-pmsurya[[#This Row],[installations]]</f>
        <v>8548</v>
      </c>
      <c r="J732" s="6">
        <f>(pmsurya[[#This Row],[installations]]/pmsurya[[#This Row],[applications]])</f>
        <v>0.58705314009661835</v>
      </c>
    </row>
    <row r="733" spans="1:10" x14ac:dyDescent="0.3">
      <c r="A733" s="3" t="s">
        <v>648</v>
      </c>
      <c r="B733" t="str">
        <f>VLOOKUP(pmsurya[[#This Row],[state]],State!$A$2:$B$37,2,0)</f>
        <v xml:space="preserve"> Uttar Pradesh</v>
      </c>
      <c r="C733" t="s">
        <v>224</v>
      </c>
      <c r="D733" s="5">
        <v>3918</v>
      </c>
      <c r="E733" s="5">
        <v>2377</v>
      </c>
      <c r="F733" s="5">
        <v>2377</v>
      </c>
      <c r="G733" s="5">
        <v>7803</v>
      </c>
      <c r="H733" s="4">
        <v>151454730</v>
      </c>
      <c r="I733" s="5">
        <f>pmsurya[[#This Row],[applications]]-pmsurya[[#This Row],[installations]]</f>
        <v>1541</v>
      </c>
      <c r="J733" s="6">
        <f>(pmsurya[[#This Row],[installations]]/pmsurya[[#This Row],[applications]])</f>
        <v>0.60668708524757531</v>
      </c>
    </row>
    <row r="734" spans="1:10" x14ac:dyDescent="0.3">
      <c r="A734" s="3" t="s">
        <v>648</v>
      </c>
      <c r="B734" t="str">
        <f>VLOOKUP(pmsurya[[#This Row],[state]],State!$A$2:$B$37,2,0)</f>
        <v xml:space="preserve"> Uttar Pradesh</v>
      </c>
      <c r="C734" t="s">
        <v>682</v>
      </c>
      <c r="D734" s="5">
        <v>5381</v>
      </c>
      <c r="E734" s="5">
        <v>2555</v>
      </c>
      <c r="F734" s="5">
        <v>2555</v>
      </c>
      <c r="G734" s="5">
        <v>8422</v>
      </c>
      <c r="H734" s="4">
        <v>160726290</v>
      </c>
      <c r="I734" s="5">
        <f>pmsurya[[#This Row],[applications]]-pmsurya[[#This Row],[installations]]</f>
        <v>2826</v>
      </c>
      <c r="J734" s="6">
        <f>(pmsurya[[#This Row],[installations]]/pmsurya[[#This Row],[applications]])</f>
        <v>0.47481880691321315</v>
      </c>
    </row>
    <row r="735" spans="1:10" x14ac:dyDescent="0.3">
      <c r="A735" s="3" t="s">
        <v>648</v>
      </c>
      <c r="B735" t="str">
        <f>VLOOKUP(pmsurya[[#This Row],[state]],State!$A$2:$B$37,2,0)</f>
        <v xml:space="preserve"> Uttar Pradesh</v>
      </c>
      <c r="C735" t="s">
        <v>683</v>
      </c>
      <c r="D735" s="5">
        <v>9635</v>
      </c>
      <c r="E735" s="5">
        <v>5542</v>
      </c>
      <c r="F735" s="5">
        <v>5542</v>
      </c>
      <c r="G735" s="5">
        <v>18480</v>
      </c>
      <c r="H735" s="4">
        <v>355748040</v>
      </c>
      <c r="I735" s="5">
        <f>pmsurya[[#This Row],[applications]]-pmsurya[[#This Row],[installations]]</f>
        <v>4093</v>
      </c>
      <c r="J735" s="6">
        <f>(pmsurya[[#This Row],[installations]]/pmsurya[[#This Row],[applications]])</f>
        <v>0.57519460300985992</v>
      </c>
    </row>
    <row r="736" spans="1:10" x14ac:dyDescent="0.3">
      <c r="A736" s="3" t="s">
        <v>648</v>
      </c>
      <c r="B736" t="str">
        <f>VLOOKUP(pmsurya[[#This Row],[state]],State!$A$2:$B$37,2,0)</f>
        <v xml:space="preserve"> Uttar Pradesh</v>
      </c>
      <c r="C736" t="s">
        <v>684</v>
      </c>
      <c r="D736" s="5">
        <v>6594</v>
      </c>
      <c r="E736" s="5">
        <v>3512</v>
      </c>
      <c r="F736" s="5">
        <v>10891</v>
      </c>
      <c r="G736" s="5">
        <v>11482</v>
      </c>
      <c r="H736" s="4">
        <v>221819970</v>
      </c>
      <c r="I736" s="5">
        <f>pmsurya[[#This Row],[applications]]-pmsurya[[#This Row],[installations]]</f>
        <v>3082</v>
      </c>
      <c r="J736" s="6">
        <f>(pmsurya[[#This Row],[installations]]/pmsurya[[#This Row],[applications]])</f>
        <v>0.53260539884743707</v>
      </c>
    </row>
    <row r="737" spans="1:10" x14ac:dyDescent="0.3">
      <c r="A737" s="3" t="s">
        <v>648</v>
      </c>
      <c r="B737" t="str">
        <f>VLOOKUP(pmsurya[[#This Row],[state]],State!$A$2:$B$37,2,0)</f>
        <v xml:space="preserve"> Uttar Pradesh</v>
      </c>
      <c r="C737" t="s">
        <v>685</v>
      </c>
      <c r="D737" s="5">
        <v>6348</v>
      </c>
      <c r="E737" s="5">
        <v>3866</v>
      </c>
      <c r="F737" s="5">
        <v>3866</v>
      </c>
      <c r="G737" s="5">
        <v>12556</v>
      </c>
      <c r="H737" s="4">
        <v>255637320</v>
      </c>
      <c r="I737" s="5">
        <f>pmsurya[[#This Row],[applications]]-pmsurya[[#This Row],[installations]]</f>
        <v>2482</v>
      </c>
      <c r="J737" s="6">
        <f>(pmsurya[[#This Row],[installations]]/pmsurya[[#This Row],[applications]])</f>
        <v>0.60901071203528667</v>
      </c>
    </row>
    <row r="738" spans="1:10" x14ac:dyDescent="0.3">
      <c r="A738" s="3" t="s">
        <v>648</v>
      </c>
      <c r="B738" t="str">
        <f>VLOOKUP(pmsurya[[#This Row],[state]],State!$A$2:$B$37,2,0)</f>
        <v xml:space="preserve"> Uttar Pradesh</v>
      </c>
      <c r="C738" t="s">
        <v>686</v>
      </c>
      <c r="D738" s="5">
        <v>12954</v>
      </c>
      <c r="E738" s="5">
        <v>4628</v>
      </c>
      <c r="F738" s="5">
        <v>4794</v>
      </c>
      <c r="G738" s="5">
        <v>14702</v>
      </c>
      <c r="H738" s="4">
        <v>265759740</v>
      </c>
      <c r="I738" s="5">
        <f>pmsurya[[#This Row],[applications]]-pmsurya[[#This Row],[installations]]</f>
        <v>8326</v>
      </c>
      <c r="J738" s="6">
        <f>(pmsurya[[#This Row],[installations]]/pmsurya[[#This Row],[applications]])</f>
        <v>0.3572641655087232</v>
      </c>
    </row>
    <row r="739" spans="1:10" x14ac:dyDescent="0.3">
      <c r="A739" s="3" t="s">
        <v>648</v>
      </c>
      <c r="B739" t="str">
        <f>VLOOKUP(pmsurya[[#This Row],[state]],State!$A$2:$B$37,2,0)</f>
        <v xml:space="preserve"> Uttar Pradesh</v>
      </c>
      <c r="C739" t="s">
        <v>687</v>
      </c>
      <c r="D739" s="5">
        <v>23818</v>
      </c>
      <c r="E739" s="5">
        <v>16005</v>
      </c>
      <c r="F739" s="5">
        <v>16005</v>
      </c>
      <c r="G739" s="5">
        <v>53226</v>
      </c>
      <c r="H739" s="4">
        <v>1089311610</v>
      </c>
      <c r="I739" s="5">
        <f>pmsurya[[#This Row],[applications]]-pmsurya[[#This Row],[installations]]</f>
        <v>7813</v>
      </c>
      <c r="J739" s="6">
        <f>(pmsurya[[#This Row],[installations]]/pmsurya[[#This Row],[applications]])</f>
        <v>0.67197077840288855</v>
      </c>
    </row>
    <row r="740" spans="1:10" x14ac:dyDescent="0.3">
      <c r="A740" s="3" t="s">
        <v>648</v>
      </c>
      <c r="B740" t="str">
        <f>VLOOKUP(pmsurya[[#This Row],[state]],State!$A$2:$B$37,2,0)</f>
        <v xml:space="preserve"> Uttar Pradesh</v>
      </c>
      <c r="C740" t="s">
        <v>688</v>
      </c>
      <c r="D740" s="5">
        <v>4836</v>
      </c>
      <c r="E740" s="5">
        <v>2161</v>
      </c>
      <c r="F740" s="5">
        <v>2161</v>
      </c>
      <c r="G740" s="5">
        <v>6885</v>
      </c>
      <c r="H740" s="4">
        <v>135552480</v>
      </c>
      <c r="I740" s="5">
        <f>pmsurya[[#This Row],[applications]]-pmsurya[[#This Row],[installations]]</f>
        <v>2675</v>
      </c>
      <c r="J740" s="6">
        <f>(pmsurya[[#This Row],[installations]]/pmsurya[[#This Row],[applications]])</f>
        <v>0.44685690653432592</v>
      </c>
    </row>
    <row r="741" spans="1:10" x14ac:dyDescent="0.3">
      <c r="A741" s="3" t="s">
        <v>648</v>
      </c>
      <c r="B741" t="str">
        <f>VLOOKUP(pmsurya[[#This Row],[state]],State!$A$2:$B$37,2,0)</f>
        <v xml:space="preserve"> Uttar Pradesh</v>
      </c>
      <c r="C741" t="s">
        <v>689</v>
      </c>
      <c r="D741" s="5">
        <v>2384</v>
      </c>
      <c r="E741" s="5">
        <v>1003</v>
      </c>
      <c r="F741" s="5">
        <v>1003</v>
      </c>
      <c r="G741" s="5">
        <v>3167</v>
      </c>
      <c r="H741" s="4">
        <v>56202120</v>
      </c>
      <c r="I741" s="5">
        <f>pmsurya[[#This Row],[applications]]-pmsurya[[#This Row],[installations]]</f>
        <v>1381</v>
      </c>
      <c r="J741" s="6">
        <f>(pmsurya[[#This Row],[installations]]/pmsurya[[#This Row],[applications]])</f>
        <v>0.42072147651006714</v>
      </c>
    </row>
    <row r="742" spans="1:10" x14ac:dyDescent="0.3">
      <c r="A742" s="3" t="s">
        <v>648</v>
      </c>
      <c r="B742" t="str">
        <f>VLOOKUP(pmsurya[[#This Row],[state]],State!$A$2:$B$37,2,0)</f>
        <v xml:space="preserve"> Uttar Pradesh</v>
      </c>
      <c r="C742" t="s">
        <v>690</v>
      </c>
      <c r="D742" s="5">
        <v>54211</v>
      </c>
      <c r="E742" s="5">
        <v>37260</v>
      </c>
      <c r="F742" s="5">
        <v>37260</v>
      </c>
      <c r="G742" s="5">
        <v>130049</v>
      </c>
      <c r="H742" s="4">
        <v>2247889770</v>
      </c>
      <c r="I742" s="5">
        <f>pmsurya[[#This Row],[applications]]-pmsurya[[#This Row],[installations]]</f>
        <v>16951</v>
      </c>
      <c r="J742" s="6">
        <f>(pmsurya[[#This Row],[installations]]/pmsurya[[#This Row],[applications]])</f>
        <v>0.68731438268986</v>
      </c>
    </row>
    <row r="743" spans="1:10" x14ac:dyDescent="0.3">
      <c r="A743" s="3" t="s">
        <v>648</v>
      </c>
      <c r="B743" t="str">
        <f>VLOOKUP(pmsurya[[#This Row],[state]],State!$A$2:$B$37,2,0)</f>
        <v xml:space="preserve"> Uttar Pradesh</v>
      </c>
      <c r="C743" t="s">
        <v>691</v>
      </c>
      <c r="D743" s="5">
        <v>3349</v>
      </c>
      <c r="E743" s="5">
        <v>1835</v>
      </c>
      <c r="F743" s="5">
        <v>1835</v>
      </c>
      <c r="G743" s="5">
        <v>5890</v>
      </c>
      <c r="H743" s="4">
        <v>113146680</v>
      </c>
      <c r="I743" s="5">
        <f>pmsurya[[#This Row],[applications]]-pmsurya[[#This Row],[installations]]</f>
        <v>1514</v>
      </c>
      <c r="J743" s="6">
        <f>(pmsurya[[#This Row],[installations]]/pmsurya[[#This Row],[applications]])</f>
        <v>0.54792475365780835</v>
      </c>
    </row>
    <row r="744" spans="1:10" x14ac:dyDescent="0.3">
      <c r="A744" s="3" t="s">
        <v>648</v>
      </c>
      <c r="B744" t="str">
        <f>VLOOKUP(pmsurya[[#This Row],[state]],State!$A$2:$B$37,2,0)</f>
        <v xml:space="preserve"> Uttar Pradesh</v>
      </c>
      <c r="C744" t="s">
        <v>692</v>
      </c>
      <c r="D744" s="5">
        <v>7961</v>
      </c>
      <c r="E744" s="5">
        <v>1911</v>
      </c>
      <c r="F744" s="5">
        <v>1911</v>
      </c>
      <c r="G744" s="5">
        <v>5349</v>
      </c>
      <c r="H744" s="4">
        <v>103084020</v>
      </c>
      <c r="I744" s="5">
        <f>pmsurya[[#This Row],[applications]]-pmsurya[[#This Row],[installations]]</f>
        <v>6050</v>
      </c>
      <c r="J744" s="6">
        <f>(pmsurya[[#This Row],[installations]]/pmsurya[[#This Row],[applications]])</f>
        <v>0.24004522044969226</v>
      </c>
    </row>
    <row r="745" spans="1:10" x14ac:dyDescent="0.3">
      <c r="A745" s="3" t="s">
        <v>648</v>
      </c>
      <c r="B745" t="str">
        <f>VLOOKUP(pmsurya[[#This Row],[state]],State!$A$2:$B$37,2,0)</f>
        <v xml:space="preserve"> Uttar Pradesh</v>
      </c>
      <c r="C745" t="s">
        <v>693</v>
      </c>
      <c r="D745" s="5">
        <v>12627</v>
      </c>
      <c r="E745" s="5">
        <v>6990</v>
      </c>
      <c r="F745" s="5">
        <v>6990</v>
      </c>
      <c r="G745" s="5">
        <v>22659</v>
      </c>
      <c r="H745" s="4">
        <v>445603350</v>
      </c>
      <c r="I745" s="5">
        <f>pmsurya[[#This Row],[applications]]-pmsurya[[#This Row],[installations]]</f>
        <v>5637</v>
      </c>
      <c r="J745" s="6">
        <f>(pmsurya[[#This Row],[installations]]/pmsurya[[#This Row],[applications]])</f>
        <v>0.55357567118080309</v>
      </c>
    </row>
    <row r="746" spans="1:10" x14ac:dyDescent="0.3">
      <c r="A746" s="3" t="s">
        <v>648</v>
      </c>
      <c r="B746" t="str">
        <f>VLOOKUP(pmsurya[[#This Row],[state]],State!$A$2:$B$37,2,0)</f>
        <v xml:space="preserve"> Uttar Pradesh</v>
      </c>
      <c r="C746" t="s">
        <v>694</v>
      </c>
      <c r="D746" s="5">
        <v>4239</v>
      </c>
      <c r="E746" s="5">
        <v>1378</v>
      </c>
      <c r="F746" s="5">
        <v>1667</v>
      </c>
      <c r="G746" s="5">
        <v>4293</v>
      </c>
      <c r="H746" s="4">
        <v>79992060</v>
      </c>
      <c r="I746" s="5">
        <f>pmsurya[[#This Row],[applications]]-pmsurya[[#This Row],[installations]]</f>
        <v>2861</v>
      </c>
      <c r="J746" s="6">
        <f>(pmsurya[[#This Row],[installations]]/pmsurya[[#This Row],[applications]])</f>
        <v>0.32507666902571364</v>
      </c>
    </row>
    <row r="747" spans="1:10" x14ac:dyDescent="0.3">
      <c r="A747" s="3" t="s">
        <v>648</v>
      </c>
      <c r="B747" t="str">
        <f>VLOOKUP(pmsurya[[#This Row],[state]],State!$A$2:$B$37,2,0)</f>
        <v xml:space="preserve"> Uttar Pradesh</v>
      </c>
      <c r="C747" t="s">
        <v>695</v>
      </c>
      <c r="D747" s="5">
        <v>5384</v>
      </c>
      <c r="E747" s="5">
        <v>3872</v>
      </c>
      <c r="F747" s="5">
        <v>3872</v>
      </c>
      <c r="G747" s="5">
        <v>12834</v>
      </c>
      <c r="H747" s="4">
        <v>269162490</v>
      </c>
      <c r="I747" s="5">
        <f>pmsurya[[#This Row],[applications]]-pmsurya[[#This Row],[installations]]</f>
        <v>1512</v>
      </c>
      <c r="J747" s="6">
        <f>(pmsurya[[#This Row],[installations]]/pmsurya[[#This Row],[applications]])</f>
        <v>0.71916790490341753</v>
      </c>
    </row>
    <row r="748" spans="1:10" x14ac:dyDescent="0.3">
      <c r="A748" s="3" t="s">
        <v>648</v>
      </c>
      <c r="B748" t="str">
        <f>VLOOKUP(pmsurya[[#This Row],[state]],State!$A$2:$B$37,2,0)</f>
        <v xml:space="preserve"> Uttar Pradesh</v>
      </c>
      <c r="C748" t="s">
        <v>696</v>
      </c>
      <c r="D748" s="5">
        <v>152041</v>
      </c>
      <c r="E748" s="5">
        <v>107755</v>
      </c>
      <c r="F748" s="5">
        <v>110547</v>
      </c>
      <c r="G748" s="5">
        <v>381869</v>
      </c>
      <c r="H748" s="4">
        <v>7279486710</v>
      </c>
      <c r="I748" s="5">
        <f>pmsurya[[#This Row],[applications]]-pmsurya[[#This Row],[installations]]</f>
        <v>44286</v>
      </c>
      <c r="J748" s="6">
        <f>(pmsurya[[#This Row],[installations]]/pmsurya[[#This Row],[applications]])</f>
        <v>0.70872330489802093</v>
      </c>
    </row>
    <row r="749" spans="1:10" x14ac:dyDescent="0.3">
      <c r="A749" s="3" t="s">
        <v>648</v>
      </c>
      <c r="B749" t="str">
        <f>VLOOKUP(pmsurya[[#This Row],[state]],State!$A$2:$B$37,2,0)</f>
        <v xml:space="preserve"> Uttar Pradesh</v>
      </c>
      <c r="C749" t="s">
        <v>697</v>
      </c>
      <c r="D749" s="5">
        <v>2875</v>
      </c>
      <c r="E749" s="5">
        <v>1840</v>
      </c>
      <c r="F749" s="5">
        <v>1840</v>
      </c>
      <c r="G749" s="5">
        <v>6015</v>
      </c>
      <c r="H749" s="4">
        <v>120044850</v>
      </c>
      <c r="I749" s="5">
        <f>pmsurya[[#This Row],[applications]]-pmsurya[[#This Row],[installations]]</f>
        <v>1035</v>
      </c>
      <c r="J749" s="6">
        <f>(pmsurya[[#This Row],[installations]]/pmsurya[[#This Row],[applications]])</f>
        <v>0.64</v>
      </c>
    </row>
    <row r="750" spans="1:10" x14ac:dyDescent="0.3">
      <c r="A750" s="3" t="s">
        <v>648</v>
      </c>
      <c r="B750" t="str">
        <f>VLOOKUP(pmsurya[[#This Row],[state]],State!$A$2:$B$37,2,0)</f>
        <v xml:space="preserve"> Uttar Pradesh</v>
      </c>
      <c r="C750" t="s">
        <v>698</v>
      </c>
      <c r="D750" s="5">
        <v>6046</v>
      </c>
      <c r="E750" s="5">
        <v>2762</v>
      </c>
      <c r="F750" s="5">
        <v>2762</v>
      </c>
      <c r="G750" s="5">
        <v>8963</v>
      </c>
      <c r="H750" s="4">
        <v>164991060</v>
      </c>
      <c r="I750" s="5">
        <f>pmsurya[[#This Row],[applications]]-pmsurya[[#This Row],[installations]]</f>
        <v>3284</v>
      </c>
      <c r="J750" s="6">
        <f>(pmsurya[[#This Row],[installations]]/pmsurya[[#This Row],[applications]])</f>
        <v>0.45683096261991402</v>
      </c>
    </row>
    <row r="751" spans="1:10" x14ac:dyDescent="0.3">
      <c r="A751" s="3" t="s">
        <v>648</v>
      </c>
      <c r="B751" t="str">
        <f>VLOOKUP(pmsurya[[#This Row],[state]],State!$A$2:$B$37,2,0)</f>
        <v xml:space="preserve"> Uttar Pradesh</v>
      </c>
      <c r="C751" t="s">
        <v>699</v>
      </c>
      <c r="D751" s="5">
        <v>4547</v>
      </c>
      <c r="E751" s="5">
        <v>2636</v>
      </c>
      <c r="F751" s="5">
        <v>2636</v>
      </c>
      <c r="G751" s="5">
        <v>8611</v>
      </c>
      <c r="H751" s="4">
        <v>171900456</v>
      </c>
      <c r="I751" s="5">
        <f>pmsurya[[#This Row],[applications]]-pmsurya[[#This Row],[installations]]</f>
        <v>1911</v>
      </c>
      <c r="J751" s="6">
        <f>(pmsurya[[#This Row],[installations]]/pmsurya[[#This Row],[applications]])</f>
        <v>0.57972289421596657</v>
      </c>
    </row>
    <row r="752" spans="1:10" x14ac:dyDescent="0.3">
      <c r="A752" s="3" t="s">
        <v>648</v>
      </c>
      <c r="B752" t="str">
        <f>VLOOKUP(pmsurya[[#This Row],[state]],State!$A$2:$B$37,2,0)</f>
        <v xml:space="preserve"> Uttar Pradesh</v>
      </c>
      <c r="C752" t="s">
        <v>700</v>
      </c>
      <c r="D752" s="5">
        <v>11212</v>
      </c>
      <c r="E752" s="5">
        <v>6321</v>
      </c>
      <c r="F752" s="5">
        <v>6424</v>
      </c>
      <c r="G752" s="5">
        <v>21363</v>
      </c>
      <c r="H752" s="4">
        <v>386762370</v>
      </c>
      <c r="I752" s="5">
        <f>pmsurya[[#This Row],[applications]]-pmsurya[[#This Row],[installations]]</f>
        <v>4891</v>
      </c>
      <c r="J752" s="6">
        <f>(pmsurya[[#This Row],[installations]]/pmsurya[[#This Row],[applications]])</f>
        <v>0.56377095968605062</v>
      </c>
    </row>
    <row r="753" spans="1:10" x14ac:dyDescent="0.3">
      <c r="A753" s="3" t="s">
        <v>648</v>
      </c>
      <c r="B753" t="str">
        <f>VLOOKUP(pmsurya[[#This Row],[state]],State!$A$2:$B$37,2,0)</f>
        <v xml:space="preserve"> Uttar Pradesh</v>
      </c>
      <c r="C753" t="s">
        <v>701</v>
      </c>
      <c r="D753" s="5">
        <v>5887</v>
      </c>
      <c r="E753" s="5">
        <v>2898</v>
      </c>
      <c r="F753" s="5">
        <v>2898</v>
      </c>
      <c r="G753" s="5">
        <v>9569</v>
      </c>
      <c r="H753" s="4">
        <v>182586360</v>
      </c>
      <c r="I753" s="5">
        <f>pmsurya[[#This Row],[applications]]-pmsurya[[#This Row],[installations]]</f>
        <v>2989</v>
      </c>
      <c r="J753" s="6">
        <f>(pmsurya[[#This Row],[installations]]/pmsurya[[#This Row],[applications]])</f>
        <v>0.49227110582639716</v>
      </c>
    </row>
    <row r="754" spans="1:10" x14ac:dyDescent="0.3">
      <c r="A754" s="3" t="s">
        <v>648</v>
      </c>
      <c r="B754" t="str">
        <f>VLOOKUP(pmsurya[[#This Row],[state]],State!$A$2:$B$37,2,0)</f>
        <v xml:space="preserve"> Uttar Pradesh</v>
      </c>
      <c r="C754" t="s">
        <v>702</v>
      </c>
      <c r="D754" s="5">
        <v>18940</v>
      </c>
      <c r="E754" s="5">
        <v>10857</v>
      </c>
      <c r="F754" s="5">
        <v>10857</v>
      </c>
      <c r="G754" s="5">
        <v>37509</v>
      </c>
      <c r="H754" s="4">
        <v>697451130</v>
      </c>
      <c r="I754" s="5">
        <f>pmsurya[[#This Row],[applications]]-pmsurya[[#This Row],[installations]]</f>
        <v>8083</v>
      </c>
      <c r="J754" s="6">
        <f>(pmsurya[[#This Row],[installations]]/pmsurya[[#This Row],[applications]])</f>
        <v>0.5732312565997888</v>
      </c>
    </row>
    <row r="755" spans="1:10" x14ac:dyDescent="0.3">
      <c r="A755" s="3" t="s">
        <v>648</v>
      </c>
      <c r="B755" t="str">
        <f>VLOOKUP(pmsurya[[#This Row],[state]],State!$A$2:$B$37,2,0)</f>
        <v xml:space="preserve"> Uttar Pradesh</v>
      </c>
      <c r="C755" t="s">
        <v>703</v>
      </c>
      <c r="D755" s="5">
        <v>16913</v>
      </c>
      <c r="E755" s="5">
        <v>6702</v>
      </c>
      <c r="F755" s="5">
        <v>6702</v>
      </c>
      <c r="G755" s="5">
        <v>21492</v>
      </c>
      <c r="H755" s="4">
        <v>416090370</v>
      </c>
      <c r="I755" s="5">
        <f>pmsurya[[#This Row],[applications]]-pmsurya[[#This Row],[installations]]</f>
        <v>10211</v>
      </c>
      <c r="J755" s="6">
        <f>(pmsurya[[#This Row],[installations]]/pmsurya[[#This Row],[applications]])</f>
        <v>0.39626322946845621</v>
      </c>
    </row>
    <row r="756" spans="1:10" x14ac:dyDescent="0.3">
      <c r="A756" s="3" t="s">
        <v>648</v>
      </c>
      <c r="B756" t="str">
        <f>VLOOKUP(pmsurya[[#This Row],[state]],State!$A$2:$B$37,2,0)</f>
        <v xml:space="preserve"> Uttar Pradesh</v>
      </c>
      <c r="C756" t="s">
        <v>704</v>
      </c>
      <c r="D756" s="5">
        <v>12918</v>
      </c>
      <c r="E756" s="5">
        <v>6279</v>
      </c>
      <c r="F756" s="5">
        <v>6279</v>
      </c>
      <c r="G756" s="5">
        <v>21759</v>
      </c>
      <c r="H756" s="4">
        <v>388505790</v>
      </c>
      <c r="I756" s="5">
        <f>pmsurya[[#This Row],[applications]]-pmsurya[[#This Row],[installations]]</f>
        <v>6639</v>
      </c>
      <c r="J756" s="6">
        <f>(pmsurya[[#This Row],[installations]]/pmsurya[[#This Row],[applications]])</f>
        <v>0.48606595448211798</v>
      </c>
    </row>
    <row r="757" spans="1:10" x14ac:dyDescent="0.3">
      <c r="A757" s="3" t="s">
        <v>648</v>
      </c>
      <c r="B757" t="str">
        <f>VLOOKUP(pmsurya[[#This Row],[state]],State!$A$2:$B$37,2,0)</f>
        <v xml:space="preserve"> Uttar Pradesh</v>
      </c>
      <c r="C757" t="s">
        <v>705</v>
      </c>
      <c r="D757" s="5">
        <v>20249</v>
      </c>
      <c r="E757" s="5">
        <v>11504</v>
      </c>
      <c r="F757" s="5">
        <v>11504</v>
      </c>
      <c r="G757" s="5">
        <v>36237</v>
      </c>
      <c r="H757" s="4">
        <v>708453540</v>
      </c>
      <c r="I757" s="5">
        <f>pmsurya[[#This Row],[applications]]-pmsurya[[#This Row],[installations]]</f>
        <v>8745</v>
      </c>
      <c r="J757" s="6">
        <f>(pmsurya[[#This Row],[installations]]/pmsurya[[#This Row],[applications]])</f>
        <v>0.56812682107758405</v>
      </c>
    </row>
    <row r="758" spans="1:10" x14ac:dyDescent="0.3">
      <c r="A758" s="3" t="s">
        <v>648</v>
      </c>
      <c r="B758" t="str">
        <f>VLOOKUP(pmsurya[[#This Row],[state]],State!$A$2:$B$37,2,0)</f>
        <v xml:space="preserve"> Uttar Pradesh</v>
      </c>
      <c r="C758" t="s">
        <v>706</v>
      </c>
      <c r="D758" s="5">
        <v>12964</v>
      </c>
      <c r="E758" s="5">
        <v>6127</v>
      </c>
      <c r="F758" s="5">
        <v>6352</v>
      </c>
      <c r="G758" s="5">
        <v>19439</v>
      </c>
      <c r="H758" s="4">
        <v>405655890</v>
      </c>
      <c r="I758" s="5">
        <f>pmsurya[[#This Row],[applications]]-pmsurya[[#This Row],[installations]]</f>
        <v>6837</v>
      </c>
      <c r="J758" s="6">
        <f>(pmsurya[[#This Row],[installations]]/pmsurya[[#This Row],[applications]])</f>
        <v>0.47261647639617405</v>
      </c>
    </row>
    <row r="759" spans="1:10" x14ac:dyDescent="0.3">
      <c r="A759" s="3" t="s">
        <v>648</v>
      </c>
      <c r="B759" t="str">
        <f>VLOOKUP(pmsurya[[#This Row],[state]],State!$A$2:$B$37,2,0)</f>
        <v xml:space="preserve"> Uttar Pradesh</v>
      </c>
      <c r="C759" t="s">
        <v>549</v>
      </c>
      <c r="D759" s="5">
        <v>10493</v>
      </c>
      <c r="E759" s="5">
        <v>4794</v>
      </c>
      <c r="F759" s="5">
        <v>4794</v>
      </c>
      <c r="G759" s="5">
        <v>15605</v>
      </c>
      <c r="H759" s="4">
        <v>272669760</v>
      </c>
      <c r="I759" s="5">
        <f>pmsurya[[#This Row],[applications]]-pmsurya[[#This Row],[installations]]</f>
        <v>5699</v>
      </c>
      <c r="J759" s="6">
        <f>(pmsurya[[#This Row],[installations]]/pmsurya[[#This Row],[applications]])</f>
        <v>0.45687601257981514</v>
      </c>
    </row>
    <row r="760" spans="1:10" x14ac:dyDescent="0.3">
      <c r="A760" s="3" t="s">
        <v>648</v>
      </c>
      <c r="B760" t="str">
        <f>VLOOKUP(pmsurya[[#This Row],[state]],State!$A$2:$B$37,2,0)</f>
        <v xml:space="preserve"> Uttar Pradesh</v>
      </c>
      <c r="C760" t="s">
        <v>707</v>
      </c>
      <c r="D760" s="5">
        <v>34641</v>
      </c>
      <c r="E760" s="5">
        <v>20279</v>
      </c>
      <c r="F760" s="5">
        <v>20468</v>
      </c>
      <c r="G760" s="5">
        <v>68279</v>
      </c>
      <c r="H760" s="4">
        <v>1304321322</v>
      </c>
      <c r="I760" s="5">
        <f>pmsurya[[#This Row],[applications]]-pmsurya[[#This Row],[installations]]</f>
        <v>14362</v>
      </c>
      <c r="J760" s="6">
        <f>(pmsurya[[#This Row],[installations]]/pmsurya[[#This Row],[applications]])</f>
        <v>0.58540457838976934</v>
      </c>
    </row>
    <row r="761" spans="1:10" x14ac:dyDescent="0.3">
      <c r="A761" s="3" t="s">
        <v>648</v>
      </c>
      <c r="B761" t="str">
        <f>VLOOKUP(pmsurya[[#This Row],[state]],State!$A$2:$B$37,2,0)</f>
        <v xml:space="preserve"> Uttar Pradesh</v>
      </c>
      <c r="C761" t="s">
        <v>708</v>
      </c>
      <c r="D761" s="5">
        <v>26327</v>
      </c>
      <c r="E761" s="5">
        <v>15272</v>
      </c>
      <c r="F761" s="5">
        <v>15272</v>
      </c>
      <c r="G761" s="5">
        <v>50569</v>
      </c>
      <c r="H761" s="4">
        <v>1031350890</v>
      </c>
      <c r="I761" s="5">
        <f>pmsurya[[#This Row],[applications]]-pmsurya[[#This Row],[installations]]</f>
        <v>11055</v>
      </c>
      <c r="J761" s="6">
        <f>(pmsurya[[#This Row],[installations]]/pmsurya[[#This Row],[applications]])</f>
        <v>0.58008888213621002</v>
      </c>
    </row>
    <row r="762" spans="1:10" x14ac:dyDescent="0.3">
      <c r="A762" s="3" t="s">
        <v>648</v>
      </c>
      <c r="B762" t="str">
        <f>VLOOKUP(pmsurya[[#This Row],[state]],State!$A$2:$B$37,2,0)</f>
        <v xml:space="preserve"> Uttar Pradesh</v>
      </c>
      <c r="C762" t="s">
        <v>709</v>
      </c>
      <c r="D762" s="5">
        <v>17092</v>
      </c>
      <c r="E762" s="5">
        <v>7745</v>
      </c>
      <c r="F762" s="5">
        <v>7767</v>
      </c>
      <c r="G762" s="5">
        <v>24526</v>
      </c>
      <c r="H762" s="4">
        <v>477636390</v>
      </c>
      <c r="I762" s="5">
        <f>pmsurya[[#This Row],[applications]]-pmsurya[[#This Row],[installations]]</f>
        <v>9347</v>
      </c>
      <c r="J762" s="6">
        <f>(pmsurya[[#This Row],[installations]]/pmsurya[[#This Row],[applications]])</f>
        <v>0.45313597004446526</v>
      </c>
    </row>
    <row r="763" spans="1:10" x14ac:dyDescent="0.3">
      <c r="A763" s="3" t="s">
        <v>648</v>
      </c>
      <c r="B763" t="str">
        <f>VLOOKUP(pmsurya[[#This Row],[state]],State!$A$2:$B$37,2,0)</f>
        <v xml:space="preserve"> Uttar Pradesh</v>
      </c>
      <c r="C763" t="s">
        <v>710</v>
      </c>
      <c r="D763" s="5">
        <v>26097</v>
      </c>
      <c r="E763" s="5">
        <v>10846</v>
      </c>
      <c r="F763" s="5">
        <v>10846</v>
      </c>
      <c r="G763" s="5">
        <v>36522</v>
      </c>
      <c r="H763" s="4">
        <v>669569850</v>
      </c>
      <c r="I763" s="5">
        <f>pmsurya[[#This Row],[applications]]-pmsurya[[#This Row],[installations]]</f>
        <v>15251</v>
      </c>
      <c r="J763" s="6">
        <f>(pmsurya[[#This Row],[installations]]/pmsurya[[#This Row],[applications]])</f>
        <v>0.41560332605280298</v>
      </c>
    </row>
    <row r="764" spans="1:10" x14ac:dyDescent="0.3">
      <c r="A764" s="3" t="s">
        <v>648</v>
      </c>
      <c r="B764" t="str">
        <f>VLOOKUP(pmsurya[[#This Row],[state]],State!$A$2:$B$37,2,0)</f>
        <v xml:space="preserve"> Uttar Pradesh</v>
      </c>
      <c r="C764" t="s">
        <v>711</v>
      </c>
      <c r="D764" s="5">
        <v>5992</v>
      </c>
      <c r="E764" s="5">
        <v>2662</v>
      </c>
      <c r="F764" s="5">
        <v>2662</v>
      </c>
      <c r="G764" s="5">
        <v>8649</v>
      </c>
      <c r="H764" s="4">
        <v>164069640</v>
      </c>
      <c r="I764" s="5">
        <f>pmsurya[[#This Row],[applications]]-pmsurya[[#This Row],[installations]]</f>
        <v>3330</v>
      </c>
      <c r="J764" s="6">
        <f>(pmsurya[[#This Row],[installations]]/pmsurya[[#This Row],[applications]])</f>
        <v>0.44425901201602136</v>
      </c>
    </row>
    <row r="765" spans="1:10" x14ac:dyDescent="0.3">
      <c r="A765" s="3" t="s">
        <v>648</v>
      </c>
      <c r="B765" t="str">
        <f>VLOOKUP(pmsurya[[#This Row],[state]],State!$A$2:$B$37,2,0)</f>
        <v xml:space="preserve"> Uttar Pradesh</v>
      </c>
      <c r="C765" t="s">
        <v>712</v>
      </c>
      <c r="D765" s="5">
        <v>3103</v>
      </c>
      <c r="E765" s="5">
        <v>1159</v>
      </c>
      <c r="F765" s="5">
        <v>1159</v>
      </c>
      <c r="G765" s="5">
        <v>3647</v>
      </c>
      <c r="H765" s="4">
        <v>66294390</v>
      </c>
      <c r="I765" s="5">
        <f>pmsurya[[#This Row],[applications]]-pmsurya[[#This Row],[installations]]</f>
        <v>1944</v>
      </c>
      <c r="J765" s="6">
        <f>(pmsurya[[#This Row],[installations]]/pmsurya[[#This Row],[applications]])</f>
        <v>0.3735095069287786</v>
      </c>
    </row>
    <row r="766" spans="1:10" x14ac:dyDescent="0.3">
      <c r="A766" s="3" t="s">
        <v>648</v>
      </c>
      <c r="B766" t="str">
        <f>VLOOKUP(pmsurya[[#This Row],[state]],State!$A$2:$B$37,2,0)</f>
        <v xml:space="preserve"> Uttar Pradesh</v>
      </c>
      <c r="C766" t="s">
        <v>713</v>
      </c>
      <c r="D766" s="5">
        <v>21905</v>
      </c>
      <c r="E766" s="5">
        <v>10351</v>
      </c>
      <c r="F766" s="5">
        <v>10351</v>
      </c>
      <c r="G766" s="5">
        <v>33351</v>
      </c>
      <c r="H766" s="4">
        <v>638157660</v>
      </c>
      <c r="I766" s="5">
        <f>pmsurya[[#This Row],[applications]]-pmsurya[[#This Row],[installations]]</f>
        <v>11554</v>
      </c>
      <c r="J766" s="6">
        <f>(pmsurya[[#This Row],[installations]]/pmsurya[[#This Row],[applications]])</f>
        <v>0.47254051586395801</v>
      </c>
    </row>
    <row r="767" spans="1:10" x14ac:dyDescent="0.3">
      <c r="A767" s="3" t="s">
        <v>648</v>
      </c>
      <c r="B767" t="str">
        <f>VLOOKUP(pmsurya[[#This Row],[state]],State!$A$2:$B$37,2,0)</f>
        <v xml:space="preserve"> Uttar Pradesh</v>
      </c>
      <c r="C767" t="s">
        <v>714</v>
      </c>
      <c r="D767" s="5">
        <v>10484</v>
      </c>
      <c r="E767" s="5">
        <v>4819</v>
      </c>
      <c r="F767" s="5">
        <v>4819</v>
      </c>
      <c r="G767" s="5">
        <v>15627</v>
      </c>
      <c r="H767" s="4">
        <v>286055340</v>
      </c>
      <c r="I767" s="5">
        <f>pmsurya[[#This Row],[applications]]-pmsurya[[#This Row],[installations]]</f>
        <v>5665</v>
      </c>
      <c r="J767" s="6">
        <f>(pmsurya[[#This Row],[installations]]/pmsurya[[#This Row],[applications]])</f>
        <v>0.45965280427317817</v>
      </c>
    </row>
    <row r="768" spans="1:10" x14ac:dyDescent="0.3">
      <c r="A768" s="3" t="s">
        <v>648</v>
      </c>
      <c r="B768" t="str">
        <f>VLOOKUP(pmsurya[[#This Row],[state]],State!$A$2:$B$37,2,0)</f>
        <v xml:space="preserve"> Uttar Pradesh</v>
      </c>
      <c r="C768" t="s">
        <v>715</v>
      </c>
      <c r="D768" s="5">
        <v>2189</v>
      </c>
      <c r="E768" s="5">
        <v>972</v>
      </c>
      <c r="F768" s="5">
        <v>972</v>
      </c>
      <c r="G768" s="5">
        <v>2979</v>
      </c>
      <c r="H768" s="4">
        <v>61006830</v>
      </c>
      <c r="I768" s="5">
        <f>pmsurya[[#This Row],[applications]]-pmsurya[[#This Row],[installations]]</f>
        <v>1217</v>
      </c>
      <c r="J768" s="6">
        <f>(pmsurya[[#This Row],[installations]]/pmsurya[[#This Row],[applications]])</f>
        <v>0.44403837368661492</v>
      </c>
    </row>
    <row r="769" spans="1:10" x14ac:dyDescent="0.3">
      <c r="A769" s="3" t="s">
        <v>648</v>
      </c>
      <c r="B769" t="str">
        <f>VLOOKUP(pmsurya[[#This Row],[state]],State!$A$2:$B$37,2,0)</f>
        <v xml:space="preserve"> Uttar Pradesh</v>
      </c>
      <c r="C769" t="s">
        <v>716</v>
      </c>
      <c r="D769" s="5">
        <v>3729</v>
      </c>
      <c r="E769" s="5">
        <v>2016</v>
      </c>
      <c r="F769" s="5">
        <v>2016</v>
      </c>
      <c r="G769" s="5">
        <v>6609</v>
      </c>
      <c r="H769" s="4">
        <v>125836080</v>
      </c>
      <c r="I769" s="5">
        <f>pmsurya[[#This Row],[applications]]-pmsurya[[#This Row],[installations]]</f>
        <v>1713</v>
      </c>
      <c r="J769" s="6">
        <f>(pmsurya[[#This Row],[installations]]/pmsurya[[#This Row],[applications]])</f>
        <v>0.54062751407884146</v>
      </c>
    </row>
    <row r="770" spans="1:10" x14ac:dyDescent="0.3">
      <c r="A770" s="3" t="s">
        <v>648</v>
      </c>
      <c r="B770" t="str">
        <f>VLOOKUP(pmsurya[[#This Row],[state]],State!$A$2:$B$37,2,0)</f>
        <v xml:space="preserve"> Uttar Pradesh</v>
      </c>
      <c r="C770" t="s">
        <v>717</v>
      </c>
      <c r="D770" s="5">
        <v>17627</v>
      </c>
      <c r="E770" s="5">
        <v>10220</v>
      </c>
      <c r="F770" s="5">
        <v>10453</v>
      </c>
      <c r="G770" s="5">
        <v>33525</v>
      </c>
      <c r="H770" s="4">
        <v>655922670</v>
      </c>
      <c r="I770" s="5">
        <f>pmsurya[[#This Row],[applications]]-pmsurya[[#This Row],[installations]]</f>
        <v>7407</v>
      </c>
      <c r="J770" s="6">
        <f>(pmsurya[[#This Row],[installations]]/pmsurya[[#This Row],[applications]])</f>
        <v>0.57979236398706535</v>
      </c>
    </row>
    <row r="771" spans="1:10" x14ac:dyDescent="0.3">
      <c r="A771" s="3" t="s">
        <v>648</v>
      </c>
      <c r="B771" t="str">
        <f>VLOOKUP(pmsurya[[#This Row],[state]],State!$A$2:$B$37,2,0)</f>
        <v xml:space="preserve"> Uttar Pradesh</v>
      </c>
      <c r="C771" t="s">
        <v>718</v>
      </c>
      <c r="D771" s="5">
        <v>8837</v>
      </c>
      <c r="E771" s="5">
        <v>3048</v>
      </c>
      <c r="F771" s="5">
        <v>3048</v>
      </c>
      <c r="G771" s="5">
        <v>9291</v>
      </c>
      <c r="H771" s="4">
        <v>184782540</v>
      </c>
      <c r="I771" s="5">
        <f>pmsurya[[#This Row],[applications]]-pmsurya[[#This Row],[installations]]</f>
        <v>5789</v>
      </c>
      <c r="J771" s="6">
        <f>(pmsurya[[#This Row],[installations]]/pmsurya[[#This Row],[applications]])</f>
        <v>0.3449134321602354</v>
      </c>
    </row>
    <row r="772" spans="1:10" x14ac:dyDescent="0.3">
      <c r="A772" s="3" t="s">
        <v>648</v>
      </c>
      <c r="B772" t="str">
        <f>VLOOKUP(pmsurya[[#This Row],[state]],State!$A$2:$B$37,2,0)</f>
        <v xml:space="preserve"> Uttar Pradesh</v>
      </c>
      <c r="C772" t="s">
        <v>719</v>
      </c>
      <c r="D772" s="5">
        <v>7775</v>
      </c>
      <c r="E772" s="5">
        <v>4349</v>
      </c>
      <c r="F772" s="5">
        <v>4883</v>
      </c>
      <c r="G772" s="5">
        <v>14107</v>
      </c>
      <c r="H772" s="4">
        <v>287788110</v>
      </c>
      <c r="I772" s="5">
        <f>pmsurya[[#This Row],[applications]]-pmsurya[[#This Row],[installations]]</f>
        <v>3426</v>
      </c>
      <c r="J772" s="6">
        <f>(pmsurya[[#This Row],[installations]]/pmsurya[[#This Row],[applications]])</f>
        <v>0.55935691318327974</v>
      </c>
    </row>
    <row r="773" spans="1:10" x14ac:dyDescent="0.3">
      <c r="A773" s="3" t="s">
        <v>648</v>
      </c>
      <c r="B773" t="str">
        <f>VLOOKUP(pmsurya[[#This Row],[state]],State!$A$2:$B$37,2,0)</f>
        <v xml:space="preserve"> Uttar Pradesh</v>
      </c>
      <c r="C773" t="s">
        <v>720</v>
      </c>
      <c r="D773" s="5">
        <v>16277</v>
      </c>
      <c r="E773" s="5">
        <v>9998</v>
      </c>
      <c r="F773" s="5">
        <v>9998</v>
      </c>
      <c r="G773" s="5">
        <v>33441</v>
      </c>
      <c r="H773" s="4">
        <v>643484610</v>
      </c>
      <c r="I773" s="5">
        <f>pmsurya[[#This Row],[applications]]-pmsurya[[#This Row],[installations]]</f>
        <v>6279</v>
      </c>
      <c r="J773" s="6">
        <f>(pmsurya[[#This Row],[installations]]/pmsurya[[#This Row],[applications]])</f>
        <v>0.61424095349265839</v>
      </c>
    </row>
    <row r="774" spans="1:10" x14ac:dyDescent="0.3">
      <c r="A774" s="3" t="s">
        <v>648</v>
      </c>
      <c r="B774" t="str">
        <f>VLOOKUP(pmsurya[[#This Row],[state]],State!$A$2:$B$37,2,0)</f>
        <v xml:space="preserve"> Uttar Pradesh</v>
      </c>
      <c r="C774" t="s">
        <v>721</v>
      </c>
      <c r="D774" s="5">
        <v>69186</v>
      </c>
      <c r="E774" s="5">
        <v>43273</v>
      </c>
      <c r="F774" s="5">
        <v>43862</v>
      </c>
      <c r="G774" s="5">
        <v>148231</v>
      </c>
      <c r="H774" s="4">
        <v>2904707892</v>
      </c>
      <c r="I774" s="5">
        <f>pmsurya[[#This Row],[applications]]-pmsurya[[#This Row],[installations]]</f>
        <v>25913</v>
      </c>
      <c r="J774" s="6">
        <f>(pmsurya[[#This Row],[installations]]/pmsurya[[#This Row],[applications]])</f>
        <v>0.62545890787153469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827A-F62B-45A1-BA5E-2E4E287810C2}">
  <dimension ref="A1:F37"/>
  <sheetViews>
    <sheetView workbookViewId="0">
      <selection activeCell="B1" sqref="B1"/>
    </sheetView>
  </sheetViews>
  <sheetFormatPr defaultRowHeight="14.4" x14ac:dyDescent="0.3"/>
  <cols>
    <col min="1" max="1" width="17.21875" style="3" customWidth="1"/>
  </cols>
  <sheetData>
    <row r="1" spans="1:6" x14ac:dyDescent="0.3">
      <c r="A1" s="3" t="s">
        <v>848</v>
      </c>
      <c r="B1" t="s">
        <v>1</v>
      </c>
    </row>
    <row r="2" spans="1:6" x14ac:dyDescent="0.3">
      <c r="A2" s="3" t="s">
        <v>785</v>
      </c>
      <c r="B2" s="1" t="s">
        <v>813</v>
      </c>
      <c r="F2" s="2"/>
    </row>
    <row r="3" spans="1:6" x14ac:dyDescent="0.3">
      <c r="A3" s="3" t="s">
        <v>88</v>
      </c>
      <c r="B3" s="1" t="s">
        <v>814</v>
      </c>
      <c r="F3" s="2"/>
    </row>
    <row r="4" spans="1:6" x14ac:dyDescent="0.3">
      <c r="A4" s="3" t="s">
        <v>559</v>
      </c>
      <c r="B4" s="1" t="s">
        <v>815</v>
      </c>
      <c r="F4" s="2"/>
    </row>
    <row r="5" spans="1:6" x14ac:dyDescent="0.3">
      <c r="A5" s="3" t="s">
        <v>35</v>
      </c>
      <c r="B5" s="1" t="s">
        <v>816</v>
      </c>
      <c r="F5" s="2"/>
    </row>
    <row r="6" spans="1:6" x14ac:dyDescent="0.3">
      <c r="A6" s="3" t="s">
        <v>440</v>
      </c>
      <c r="B6" s="1" t="s">
        <v>817</v>
      </c>
      <c r="F6" s="2"/>
    </row>
    <row r="7" spans="1:6" x14ac:dyDescent="0.3">
      <c r="A7" s="3" t="s">
        <v>399</v>
      </c>
      <c r="B7" s="1" t="s">
        <v>818</v>
      </c>
      <c r="F7" s="2"/>
    </row>
    <row r="8" spans="1:6" x14ac:dyDescent="0.3">
      <c r="A8" s="3" t="s">
        <v>428</v>
      </c>
      <c r="B8" s="1" t="s">
        <v>819</v>
      </c>
      <c r="F8" s="2"/>
    </row>
    <row r="9" spans="1:6" x14ac:dyDescent="0.3">
      <c r="A9" s="3" t="s">
        <v>639</v>
      </c>
      <c r="B9" s="1" t="s">
        <v>820</v>
      </c>
      <c r="F9" s="2"/>
    </row>
    <row r="10" spans="1:6" x14ac:dyDescent="0.3">
      <c r="A10" s="3" t="s">
        <v>415</v>
      </c>
      <c r="B10" s="1" t="s">
        <v>821</v>
      </c>
      <c r="F10" s="2"/>
    </row>
    <row r="11" spans="1:6" x14ac:dyDescent="0.3">
      <c r="A11" s="3" t="s">
        <v>52</v>
      </c>
      <c r="B11" s="1" t="s">
        <v>822</v>
      </c>
      <c r="F11" s="2"/>
    </row>
    <row r="12" spans="1:6" x14ac:dyDescent="0.3">
      <c r="A12" s="3" t="s">
        <v>736</v>
      </c>
      <c r="B12" s="1" t="s">
        <v>823</v>
      </c>
      <c r="F12" s="2"/>
    </row>
    <row r="13" spans="1:6" x14ac:dyDescent="0.3">
      <c r="A13" s="3" t="s">
        <v>222</v>
      </c>
      <c r="B13" s="1" t="s">
        <v>826</v>
      </c>
      <c r="F13" s="2"/>
    </row>
    <row r="14" spans="1:6" x14ac:dyDescent="0.3">
      <c r="A14" s="3" t="s">
        <v>234</v>
      </c>
      <c r="B14" s="1" t="s">
        <v>824</v>
      </c>
      <c r="F14" s="2"/>
    </row>
    <row r="15" spans="1:6" x14ac:dyDescent="0.3">
      <c r="A15" s="3" t="s">
        <v>453</v>
      </c>
      <c r="B15" s="1" t="s">
        <v>825</v>
      </c>
      <c r="F15" s="2"/>
    </row>
    <row r="16" spans="1:6" x14ac:dyDescent="0.3">
      <c r="A16" s="3" t="s">
        <v>0</v>
      </c>
      <c r="B16" s="1" t="s">
        <v>826</v>
      </c>
      <c r="F16" s="2"/>
    </row>
    <row r="17" spans="1:6" x14ac:dyDescent="0.3">
      <c r="A17" s="3" t="s">
        <v>306</v>
      </c>
      <c r="B17" s="1" t="s">
        <v>827</v>
      </c>
      <c r="F17" s="2"/>
    </row>
    <row r="18" spans="1:6" x14ac:dyDescent="0.3">
      <c r="A18" s="3" t="s">
        <v>165</v>
      </c>
      <c r="B18" s="1" t="s">
        <v>828</v>
      </c>
      <c r="F18" s="2"/>
    </row>
    <row r="19" spans="1:6" x14ac:dyDescent="0.3">
      <c r="A19" s="3" t="s">
        <v>362</v>
      </c>
      <c r="B19" s="1" t="s">
        <v>829</v>
      </c>
      <c r="F19" s="2"/>
    </row>
    <row r="20" spans="1:6" x14ac:dyDescent="0.3">
      <c r="A20" s="3" t="s">
        <v>8</v>
      </c>
      <c r="B20" s="1" t="s">
        <v>830</v>
      </c>
      <c r="F20" s="2"/>
    </row>
    <row r="21" spans="1:6" x14ac:dyDescent="0.3">
      <c r="A21" s="3" t="s">
        <v>259</v>
      </c>
      <c r="B21" s="1" t="s">
        <v>831</v>
      </c>
      <c r="F21" s="2"/>
    </row>
    <row r="22" spans="1:6" x14ac:dyDescent="0.3">
      <c r="A22" s="3" t="s">
        <v>484</v>
      </c>
      <c r="B22" s="1" t="s">
        <v>832</v>
      </c>
      <c r="F22" s="2"/>
    </row>
    <row r="23" spans="1:6" x14ac:dyDescent="0.3">
      <c r="A23" s="3" t="s">
        <v>162</v>
      </c>
      <c r="B23" s="1" t="s">
        <v>833</v>
      </c>
      <c r="F23" s="2"/>
    </row>
    <row r="24" spans="1:6" x14ac:dyDescent="0.3">
      <c r="A24" s="3" t="s">
        <v>778</v>
      </c>
      <c r="B24" s="1" t="s">
        <v>834</v>
      </c>
      <c r="F24" s="2"/>
    </row>
    <row r="25" spans="1:6" x14ac:dyDescent="0.3">
      <c r="A25" s="3" t="s">
        <v>291</v>
      </c>
      <c r="B25" s="1" t="s">
        <v>835</v>
      </c>
      <c r="F25" s="2"/>
    </row>
    <row r="26" spans="1:6" x14ac:dyDescent="0.3">
      <c r="A26" s="3" t="s">
        <v>566</v>
      </c>
      <c r="B26" s="1" t="s">
        <v>836</v>
      </c>
      <c r="F26" s="2"/>
    </row>
    <row r="27" spans="1:6" x14ac:dyDescent="0.3">
      <c r="A27" s="3" t="s">
        <v>780</v>
      </c>
      <c r="B27" s="1" t="s">
        <v>837</v>
      </c>
      <c r="F27" s="2"/>
    </row>
    <row r="28" spans="1:6" x14ac:dyDescent="0.3">
      <c r="A28" s="3" t="s">
        <v>760</v>
      </c>
      <c r="B28" s="1" t="s">
        <v>838</v>
      </c>
      <c r="F28" s="2"/>
    </row>
    <row r="29" spans="1:6" x14ac:dyDescent="0.3">
      <c r="A29" s="3" t="s">
        <v>605</v>
      </c>
      <c r="B29" s="1" t="s">
        <v>839</v>
      </c>
      <c r="F29" s="2"/>
    </row>
    <row r="30" spans="1:6" x14ac:dyDescent="0.3">
      <c r="A30" s="3" t="s">
        <v>806</v>
      </c>
      <c r="B30" s="1" t="s">
        <v>840</v>
      </c>
      <c r="F30" s="2"/>
    </row>
    <row r="31" spans="1:6" x14ac:dyDescent="0.3">
      <c r="A31" s="3" t="s">
        <v>809</v>
      </c>
      <c r="B31" s="1" t="s">
        <v>841</v>
      </c>
      <c r="F31" s="2"/>
    </row>
    <row r="32" spans="1:6" x14ac:dyDescent="0.3">
      <c r="A32" s="3" t="s">
        <v>764</v>
      </c>
      <c r="B32" s="1" t="s">
        <v>842</v>
      </c>
      <c r="F32" s="2"/>
    </row>
    <row r="33" spans="1:6" x14ac:dyDescent="0.3">
      <c r="A33" s="3" t="s">
        <v>722</v>
      </c>
      <c r="B33" s="1" t="s">
        <v>843</v>
      </c>
      <c r="F33" s="2"/>
    </row>
    <row r="34" spans="1:6" x14ac:dyDescent="0.3">
      <c r="A34" s="3" t="s">
        <v>199</v>
      </c>
      <c r="B34" s="1" t="s">
        <v>844</v>
      </c>
      <c r="F34" s="2"/>
    </row>
    <row r="35" spans="1:6" x14ac:dyDescent="0.3">
      <c r="A35" s="3" t="s">
        <v>766</v>
      </c>
      <c r="B35" s="1" t="s">
        <v>845</v>
      </c>
      <c r="F35" s="2"/>
    </row>
    <row r="36" spans="1:6" x14ac:dyDescent="0.3">
      <c r="A36" s="3" t="s">
        <v>508</v>
      </c>
      <c r="B36" s="1" t="s">
        <v>846</v>
      </c>
      <c r="F36" s="2"/>
    </row>
    <row r="37" spans="1:6" x14ac:dyDescent="0.3">
      <c r="A37" s="3" t="s">
        <v>648</v>
      </c>
      <c r="B37" s="1" t="s">
        <v>847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4056BF-24B0-477A-825A-130428F953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pm_surya_clean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Singh Taragi</dc:creator>
  <cp:lastModifiedBy>Ramesh Singh Taragi</cp:lastModifiedBy>
  <dcterms:created xsi:type="dcterms:W3CDTF">2026-06-17T17:49:46Z</dcterms:created>
  <dcterms:modified xsi:type="dcterms:W3CDTF">2026-06-17T19:17:53Z</dcterms:modified>
</cp:coreProperties>
</file>